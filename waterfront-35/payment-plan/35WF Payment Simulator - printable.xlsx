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er\Documents\"/>
    </mc:Choice>
  </mc:AlternateContent>
  <xr:revisionPtr revIDLastSave="0" documentId="8_{08C7D7D4-B74E-4AAF-B48E-ED7C09F88D31}" xr6:coauthVersionLast="47" xr6:coauthVersionMax="47" xr10:uidLastSave="{00000000-0000-0000-0000-000000000000}"/>
  <bookViews>
    <workbookView xWindow="-120" yWindow="-120" windowWidth="29040" windowHeight="15720" xr2:uid="{82113958-7A44-407D-8A34-87574CA1D78F}"/>
  </bookViews>
  <sheets>
    <sheet name="Printable" sheetId="4" r:id="rId1"/>
    <sheet name="Payment Plan Simulator" sheetId="3" r:id="rId2"/>
    <sheet name="Payment Plan" sheetId="1" state="hidden" r:id="rId3"/>
  </sheets>
  <definedNames>
    <definedName name="_xlnm.Print_Area" localSheetId="0">Printable!$A$1:$M$73</definedName>
    <definedName name="solver_adj" localSheetId="2" hidden="1">'Payment Plan'!$M$6</definedName>
    <definedName name="solver_adj" localSheetId="1" hidden="1">'Payment Plan Simulator'!$M$6</definedName>
    <definedName name="solver_adj" localSheetId="0" hidden="1">Printable!#REF!</definedName>
    <definedName name="solver_cvg" localSheetId="2" hidden="1">0.0001</definedName>
    <definedName name="solver_cvg" localSheetId="1" hidden="1">0.0001</definedName>
    <definedName name="solver_cvg" localSheetId="0" hidden="1">0.0001</definedName>
    <definedName name="solver_drv" localSheetId="2" hidden="1">1</definedName>
    <definedName name="solver_drv" localSheetId="1" hidden="1">1</definedName>
    <definedName name="solver_drv" localSheetId="0" hidden="1">1</definedName>
    <definedName name="solver_eng" localSheetId="2" hidden="1">1</definedName>
    <definedName name="solver_eng" localSheetId="1" hidden="1">1</definedName>
    <definedName name="solver_eng" localSheetId="0" hidden="1">1</definedName>
    <definedName name="solver_est" localSheetId="2" hidden="1">1</definedName>
    <definedName name="solver_est" localSheetId="1" hidden="1">1</definedName>
    <definedName name="solver_est" localSheetId="0" hidden="1">1</definedName>
    <definedName name="solver_itr" localSheetId="2" hidden="1">2147483647</definedName>
    <definedName name="solver_itr" localSheetId="1" hidden="1">2147483647</definedName>
    <definedName name="solver_itr" localSheetId="0" hidden="1">2147483647</definedName>
    <definedName name="solver_lhs1" localSheetId="2" hidden="1">'Payment Plan'!$F$7:$F$97</definedName>
    <definedName name="solver_lhs1" localSheetId="1" hidden="1">'Payment Plan Simulator'!$F$7:$F$97</definedName>
    <definedName name="solver_lhs1" localSheetId="0" hidden="1">Printable!$D$31:$D$121</definedName>
    <definedName name="solver_mip" localSheetId="2" hidden="1">2147483647</definedName>
    <definedName name="solver_mip" localSheetId="1" hidden="1">2147483647</definedName>
    <definedName name="solver_mip" localSheetId="0" hidden="1">2147483647</definedName>
    <definedName name="solver_mni" localSheetId="2" hidden="1">30</definedName>
    <definedName name="solver_mni" localSheetId="1" hidden="1">30</definedName>
    <definedName name="solver_mni" localSheetId="0" hidden="1">30</definedName>
    <definedName name="solver_mrt" localSheetId="2" hidden="1">0.075</definedName>
    <definedName name="solver_mrt" localSheetId="1" hidden="1">0.075</definedName>
    <definedName name="solver_mrt" localSheetId="0" hidden="1">0.075</definedName>
    <definedName name="solver_msl" localSheetId="2" hidden="1">2</definedName>
    <definedName name="solver_msl" localSheetId="1" hidden="1">2</definedName>
    <definedName name="solver_msl" localSheetId="0" hidden="1">2</definedName>
    <definedName name="solver_neg" localSheetId="2" hidden="1">1</definedName>
    <definedName name="solver_neg" localSheetId="1" hidden="1">1</definedName>
    <definedName name="solver_neg" localSheetId="0" hidden="1">1</definedName>
    <definedName name="solver_nod" localSheetId="2" hidden="1">2147483647</definedName>
    <definedName name="solver_nod" localSheetId="1" hidden="1">2147483647</definedName>
    <definedName name="solver_nod" localSheetId="0" hidden="1">2147483647</definedName>
    <definedName name="solver_num" localSheetId="2" hidden="1">0</definedName>
    <definedName name="solver_num" localSheetId="1" hidden="1">0</definedName>
    <definedName name="solver_num" localSheetId="0" hidden="1">0</definedName>
    <definedName name="solver_nwt" localSheetId="2" hidden="1">1</definedName>
    <definedName name="solver_nwt" localSheetId="1" hidden="1">1</definedName>
    <definedName name="solver_nwt" localSheetId="0" hidden="1">1</definedName>
    <definedName name="solver_opt" localSheetId="2" hidden="1">'Payment Plan'!$J$8</definedName>
    <definedName name="solver_opt" localSheetId="1" hidden="1">'Payment Plan Simulator'!$J$8</definedName>
    <definedName name="solver_opt" localSheetId="0" hidden="1">Printable!#REF!</definedName>
    <definedName name="solver_pre" localSheetId="2" hidden="1">0.000001</definedName>
    <definedName name="solver_pre" localSheetId="1" hidden="1">0.000001</definedName>
    <definedName name="solver_pre" localSheetId="0" hidden="1">0.000001</definedName>
    <definedName name="solver_rbv" localSheetId="2" hidden="1">1</definedName>
    <definedName name="solver_rbv" localSheetId="1" hidden="1">1</definedName>
    <definedName name="solver_rbv" localSheetId="0" hidden="1">1</definedName>
    <definedName name="solver_rel1" localSheetId="2" hidden="1">3</definedName>
    <definedName name="solver_rel1" localSheetId="1" hidden="1">3</definedName>
    <definedName name="solver_rel1" localSheetId="0" hidden="1">3</definedName>
    <definedName name="solver_rhs1" localSheetId="2" hidden="1">0</definedName>
    <definedName name="solver_rhs1" localSheetId="1" hidden="1">0</definedName>
    <definedName name="solver_rhs1" localSheetId="0" hidden="1">0</definedName>
    <definedName name="solver_rlx" localSheetId="2" hidden="1">2</definedName>
    <definedName name="solver_rlx" localSheetId="1" hidden="1">2</definedName>
    <definedName name="solver_rlx" localSheetId="0" hidden="1">2</definedName>
    <definedName name="solver_rsd" localSheetId="2" hidden="1">0</definedName>
    <definedName name="solver_rsd" localSheetId="1" hidden="1">0</definedName>
    <definedName name="solver_rsd" localSheetId="0" hidden="1">0</definedName>
    <definedName name="solver_scl" localSheetId="2" hidden="1">1</definedName>
    <definedName name="solver_scl" localSheetId="1" hidden="1">1</definedName>
    <definedName name="solver_scl" localSheetId="0" hidden="1">1</definedName>
    <definedName name="solver_sho" localSheetId="2" hidden="1">2</definedName>
    <definedName name="solver_sho" localSheetId="1" hidden="1">2</definedName>
    <definedName name="solver_sho" localSheetId="0" hidden="1">2</definedName>
    <definedName name="solver_ssz" localSheetId="2" hidden="1">100</definedName>
    <definedName name="solver_ssz" localSheetId="1" hidden="1">100</definedName>
    <definedName name="solver_ssz" localSheetId="0" hidden="1">100</definedName>
    <definedName name="solver_tim" localSheetId="2" hidden="1">2147483647</definedName>
    <definedName name="solver_tim" localSheetId="1" hidden="1">2147483647</definedName>
    <definedName name="solver_tim" localSheetId="0" hidden="1">2147483647</definedName>
    <definedName name="solver_tol" localSheetId="2" hidden="1">0.01</definedName>
    <definedName name="solver_tol" localSheetId="1" hidden="1">0.01</definedName>
    <definedName name="solver_tol" localSheetId="0" hidden="1">0.01</definedName>
    <definedName name="solver_typ" localSheetId="2" hidden="1">3</definedName>
    <definedName name="solver_typ" localSheetId="1" hidden="1">3</definedName>
    <definedName name="solver_typ" localSheetId="0" hidden="1">3</definedName>
    <definedName name="solver_val" localSheetId="2" hidden="1">0</definedName>
    <definedName name="solver_val" localSheetId="1" hidden="1">0</definedName>
    <definedName name="solver_val" localSheetId="0" hidden="1">0</definedName>
    <definedName name="solver_ver" localSheetId="2" hidden="1">3</definedName>
    <definedName name="solver_ver" localSheetId="1" hidden="1">3</definedName>
    <definedName name="solver_ver" localSheetId="0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5" i="3" l="1"/>
  <c r="G23" i="4" l="1"/>
  <c r="M26" i="3"/>
  <c r="M10" i="3"/>
  <c r="F6" i="3"/>
  <c r="D6" i="3"/>
  <c r="M13" i="3" l="1"/>
  <c r="M15" i="3" s="1"/>
  <c r="E7" i="3"/>
  <c r="M11" i="3"/>
  <c r="M14" i="3" s="1"/>
  <c r="G25" i="4"/>
  <c r="D30" i="4"/>
  <c r="E29" i="4"/>
  <c r="F29" i="4"/>
  <c r="D29" i="4"/>
  <c r="M21" i="1"/>
  <c r="M22" i="1"/>
  <c r="M13" i="1" s="1"/>
  <c r="M10" i="1"/>
  <c r="M11" i="1" s="1"/>
  <c r="M14" i="1" s="1"/>
  <c r="F6" i="1"/>
  <c r="D6" i="1" s="1"/>
  <c r="E8" i="3" l="1"/>
  <c r="F7" i="3"/>
  <c r="G7" i="3" s="1"/>
  <c r="E7" i="1"/>
  <c r="M15" i="1"/>
  <c r="D31" i="4"/>
  <c r="D7" i="3" l="1"/>
  <c r="E9" i="3"/>
  <c r="F8" i="3"/>
  <c r="G8" i="3" s="1"/>
  <c r="D32" i="4"/>
  <c r="E31" i="4"/>
  <c r="E8" i="1"/>
  <c r="F7" i="1"/>
  <c r="D8" i="3" l="1"/>
  <c r="F9" i="3"/>
  <c r="G9" i="3" s="1"/>
  <c r="E10" i="3"/>
  <c r="B31" i="4"/>
  <c r="E9" i="1"/>
  <c r="F8" i="1"/>
  <c r="G7" i="1"/>
  <c r="D7" i="1"/>
  <c r="F31" i="4"/>
  <c r="D33" i="4"/>
  <c r="E32" i="4"/>
  <c r="E11" i="3" l="1"/>
  <c r="F10" i="3"/>
  <c r="G10" i="3" s="1"/>
  <c r="D9" i="3"/>
  <c r="B32" i="4"/>
  <c r="D34" i="4"/>
  <c r="E33" i="4"/>
  <c r="D8" i="1"/>
  <c r="G8" i="1"/>
  <c r="F32" i="4"/>
  <c r="F9" i="1"/>
  <c r="E10" i="1"/>
  <c r="D10" i="3" l="1"/>
  <c r="E12" i="3"/>
  <c r="F11" i="3"/>
  <c r="G11" i="3" s="1"/>
  <c r="B33" i="4"/>
  <c r="E11" i="1"/>
  <c r="F10" i="1"/>
  <c r="F33" i="4"/>
  <c r="G9" i="1"/>
  <c r="D9" i="1"/>
  <c r="E34" i="4"/>
  <c r="D35" i="4"/>
  <c r="D11" i="3" l="1"/>
  <c r="E13" i="3"/>
  <c r="F12" i="3"/>
  <c r="G12" i="3" s="1"/>
  <c r="F34" i="4"/>
  <c r="G10" i="1"/>
  <c r="D10" i="1"/>
  <c r="D36" i="4"/>
  <c r="E35" i="4"/>
  <c r="E12" i="1"/>
  <c r="F11" i="1"/>
  <c r="D12" i="3" l="1"/>
  <c r="F13" i="3"/>
  <c r="G13" i="3" s="1"/>
  <c r="E14" i="3"/>
  <c r="G11" i="1"/>
  <c r="D11" i="1"/>
  <c r="F35" i="4"/>
  <c r="E13" i="1"/>
  <c r="F12" i="1"/>
  <c r="E36" i="4"/>
  <c r="D37" i="4"/>
  <c r="F14" i="3" l="1"/>
  <c r="G14" i="3" s="1"/>
  <c r="E15" i="3"/>
  <c r="D13" i="3"/>
  <c r="E37" i="4"/>
  <c r="D38" i="4"/>
  <c r="G12" i="1"/>
  <c r="D12" i="1"/>
  <c r="F36" i="4"/>
  <c r="F13" i="1"/>
  <c r="E14" i="1"/>
  <c r="F15" i="3" l="1"/>
  <c r="G15" i="3" s="1"/>
  <c r="E16" i="3"/>
  <c r="D14" i="3"/>
  <c r="D13" i="1"/>
  <c r="G13" i="1"/>
  <c r="E15" i="1"/>
  <c r="F14" i="1"/>
  <c r="E38" i="4"/>
  <c r="D39" i="4"/>
  <c r="F37" i="4"/>
  <c r="E17" i="3" l="1"/>
  <c r="F16" i="3"/>
  <c r="G16" i="3" s="1"/>
  <c r="D15" i="3"/>
  <c r="E16" i="1"/>
  <c r="F15" i="1"/>
  <c r="E39" i="4"/>
  <c r="D40" i="4"/>
  <c r="F38" i="4"/>
  <c r="G14" i="1"/>
  <c r="D14" i="1"/>
  <c r="D16" i="3" l="1"/>
  <c r="E18" i="3"/>
  <c r="F17" i="3"/>
  <c r="G17" i="3" s="1"/>
  <c r="E40" i="4"/>
  <c r="D41" i="4"/>
  <c r="D15" i="1"/>
  <c r="G15" i="1"/>
  <c r="F39" i="4"/>
  <c r="F16" i="1"/>
  <c r="E17" i="1"/>
  <c r="D17" i="3" l="1"/>
  <c r="E19" i="3"/>
  <c r="F18" i="3"/>
  <c r="G18" i="3" s="1"/>
  <c r="E18" i="1"/>
  <c r="F17" i="1"/>
  <c r="D42" i="4"/>
  <c r="E41" i="4"/>
  <c r="G16" i="1"/>
  <c r="D16" i="1"/>
  <c r="F40" i="4"/>
  <c r="D18" i="3" l="1"/>
  <c r="E20" i="3"/>
  <c r="F19" i="3"/>
  <c r="G19" i="3" s="1"/>
  <c r="F41" i="4"/>
  <c r="G17" i="1"/>
  <c r="D17" i="1"/>
  <c r="E42" i="4"/>
  <c r="D43" i="4"/>
  <c r="F18" i="1"/>
  <c r="E19" i="1"/>
  <c r="D19" i="3" l="1"/>
  <c r="F20" i="3"/>
  <c r="G20" i="3" s="1"/>
  <c r="E21" i="3"/>
  <c r="D44" i="4"/>
  <c r="E43" i="4"/>
  <c r="F19" i="1"/>
  <c r="E20" i="1"/>
  <c r="G18" i="1"/>
  <c r="D18" i="1"/>
  <c r="F42" i="4"/>
  <c r="E22" i="3" l="1"/>
  <c r="F21" i="3"/>
  <c r="G21" i="3" s="1"/>
  <c r="D20" i="3"/>
  <c r="F20" i="1"/>
  <c r="E21" i="1"/>
  <c r="E44" i="4"/>
  <c r="D45" i="4"/>
  <c r="D19" i="1"/>
  <c r="G19" i="1"/>
  <c r="F43" i="4"/>
  <c r="D21" i="3" l="1"/>
  <c r="E23" i="3"/>
  <c r="F22" i="3"/>
  <c r="G22" i="3" s="1"/>
  <c r="D20" i="1"/>
  <c r="G20" i="1"/>
  <c r="D46" i="4"/>
  <c r="E45" i="4"/>
  <c r="F44" i="4"/>
  <c r="E22" i="1"/>
  <c r="F21" i="1"/>
  <c r="D22" i="3" l="1"/>
  <c r="E24" i="3"/>
  <c r="F23" i="3"/>
  <c r="G23" i="3" s="1"/>
  <c r="E23" i="1"/>
  <c r="F22" i="1"/>
  <c r="G21" i="1"/>
  <c r="D21" i="1"/>
  <c r="F45" i="4"/>
  <c r="E46" i="4"/>
  <c r="D47" i="4"/>
  <c r="D23" i="3" l="1"/>
  <c r="F24" i="3"/>
  <c r="G24" i="3" s="1"/>
  <c r="E25" i="3"/>
  <c r="F46" i="4"/>
  <c r="G22" i="1"/>
  <c r="D22" i="1"/>
  <c r="E47" i="4"/>
  <c r="D48" i="4"/>
  <c r="E24" i="1"/>
  <c r="F23" i="1"/>
  <c r="E26" i="3" l="1"/>
  <c r="F25" i="3"/>
  <c r="G25" i="3" s="1"/>
  <c r="D24" i="3"/>
  <c r="D23" i="1"/>
  <c r="G23" i="1"/>
  <c r="E25" i="1"/>
  <c r="F24" i="1"/>
  <c r="E48" i="4"/>
  <c r="D49" i="4"/>
  <c r="F47" i="4"/>
  <c r="D25" i="3" l="1"/>
  <c r="E27" i="3"/>
  <c r="F26" i="3"/>
  <c r="G26" i="3" s="1"/>
  <c r="E49" i="4"/>
  <c r="D50" i="4"/>
  <c r="G24" i="1"/>
  <c r="D24" i="1"/>
  <c r="F48" i="4"/>
  <c r="E26" i="1"/>
  <c r="F25" i="1"/>
  <c r="D26" i="3" l="1"/>
  <c r="F27" i="3"/>
  <c r="G27" i="3" s="1"/>
  <c r="E28" i="3"/>
  <c r="F26" i="1"/>
  <c r="E27" i="1"/>
  <c r="D25" i="1"/>
  <c r="G25" i="1"/>
  <c r="E50" i="4"/>
  <c r="D51" i="4"/>
  <c r="F49" i="4"/>
  <c r="E29" i="3" l="1"/>
  <c r="F28" i="3"/>
  <c r="G28" i="3" s="1"/>
  <c r="D27" i="3"/>
  <c r="F50" i="4"/>
  <c r="E28" i="1"/>
  <c r="F27" i="1"/>
  <c r="D52" i="4"/>
  <c r="E51" i="4"/>
  <c r="D26" i="1"/>
  <c r="G26" i="1"/>
  <c r="D28" i="3" l="1"/>
  <c r="F29" i="3"/>
  <c r="G29" i="3" s="1"/>
  <c r="E30" i="3"/>
  <c r="F51" i="4"/>
  <c r="E52" i="4"/>
  <c r="D53" i="4"/>
  <c r="D27" i="1"/>
  <c r="G27" i="1"/>
  <c r="E29" i="1"/>
  <c r="F28" i="1"/>
  <c r="E31" i="3" l="1"/>
  <c r="F30" i="3"/>
  <c r="G30" i="3" s="1"/>
  <c r="D29" i="3"/>
  <c r="D28" i="1"/>
  <c r="G28" i="1"/>
  <c r="D54" i="4"/>
  <c r="E53" i="4"/>
  <c r="F52" i="4"/>
  <c r="F29" i="1"/>
  <c r="E30" i="1"/>
  <c r="D30" i="3" l="1"/>
  <c r="E32" i="3"/>
  <c r="F31" i="3"/>
  <c r="G31" i="3" s="1"/>
  <c r="E31" i="1"/>
  <c r="F30" i="1"/>
  <c r="F53" i="4"/>
  <c r="D55" i="4"/>
  <c r="E54" i="4"/>
  <c r="D29" i="1"/>
  <c r="G29" i="1"/>
  <c r="F32" i="3" l="1"/>
  <c r="G32" i="3" s="1"/>
  <c r="E33" i="3"/>
  <c r="D31" i="3"/>
  <c r="F54" i="4"/>
  <c r="D56" i="4"/>
  <c r="E55" i="4"/>
  <c r="E32" i="1"/>
  <c r="F31" i="1"/>
  <c r="D30" i="1"/>
  <c r="G30" i="1"/>
  <c r="F33" i="3" l="1"/>
  <c r="G33" i="3" s="1"/>
  <c r="E34" i="3"/>
  <c r="D32" i="3"/>
  <c r="E33" i="1"/>
  <c r="F32" i="1"/>
  <c r="F55" i="4"/>
  <c r="D31" i="1"/>
  <c r="G31" i="1"/>
  <c r="E56" i="4"/>
  <c r="D57" i="4"/>
  <c r="E35" i="3" l="1"/>
  <c r="F34" i="3"/>
  <c r="G34" i="3" s="1"/>
  <c r="D33" i="3"/>
  <c r="E57" i="4"/>
  <c r="D58" i="4"/>
  <c r="F56" i="4"/>
  <c r="E34" i="1"/>
  <c r="F33" i="1"/>
  <c r="G32" i="1"/>
  <c r="D32" i="1"/>
  <c r="D34" i="3" l="1"/>
  <c r="E36" i="3"/>
  <c r="F35" i="3"/>
  <c r="G35" i="3" s="1"/>
  <c r="E35" i="1"/>
  <c r="F34" i="1"/>
  <c r="E58" i="4"/>
  <c r="D59" i="4"/>
  <c r="D33" i="1"/>
  <c r="G33" i="1"/>
  <c r="F57" i="4"/>
  <c r="D35" i="3" l="1"/>
  <c r="E37" i="3"/>
  <c r="F36" i="3"/>
  <c r="G36" i="3" s="1"/>
  <c r="E59" i="4"/>
  <c r="D60" i="4"/>
  <c r="D34" i="1"/>
  <c r="G34" i="1"/>
  <c r="F58" i="4"/>
  <c r="E36" i="1"/>
  <c r="F35" i="1"/>
  <c r="D36" i="3" l="1"/>
  <c r="F37" i="3"/>
  <c r="G37" i="3" s="1"/>
  <c r="E38" i="3"/>
  <c r="D35" i="1"/>
  <c r="G35" i="1"/>
  <c r="F36" i="1"/>
  <c r="E37" i="1"/>
  <c r="E60" i="4"/>
  <c r="D61" i="4"/>
  <c r="F59" i="4"/>
  <c r="E39" i="3" l="1"/>
  <c r="F38" i="3"/>
  <c r="G38" i="3" s="1"/>
  <c r="D37" i="3"/>
  <c r="D62" i="4"/>
  <c r="E61" i="4"/>
  <c r="G36" i="1"/>
  <c r="D36" i="1"/>
  <c r="F60" i="4"/>
  <c r="E38" i="1"/>
  <c r="F37" i="1"/>
  <c r="D38" i="3" l="1"/>
  <c r="E40" i="3"/>
  <c r="F39" i="3"/>
  <c r="G39" i="3" s="1"/>
  <c r="F38" i="1"/>
  <c r="E39" i="1"/>
  <c r="F61" i="4"/>
  <c r="G37" i="1"/>
  <c r="D37" i="1"/>
  <c r="E62" i="4"/>
  <c r="D63" i="4"/>
  <c r="D39" i="3" l="1"/>
  <c r="E41" i="3"/>
  <c r="F40" i="3"/>
  <c r="G40" i="3" s="1"/>
  <c r="F62" i="4"/>
  <c r="F39" i="1"/>
  <c r="E40" i="1"/>
  <c r="D64" i="4"/>
  <c r="E63" i="4"/>
  <c r="G38" i="1"/>
  <c r="D38" i="1"/>
  <c r="D40" i="3" l="1"/>
  <c r="E42" i="3"/>
  <c r="F41" i="3"/>
  <c r="G41" i="3" s="1"/>
  <c r="F63" i="4"/>
  <c r="E64" i="4"/>
  <c r="H30" i="4"/>
  <c r="F40" i="1"/>
  <c r="E41" i="1"/>
  <c r="D39" i="1"/>
  <c r="G39" i="1"/>
  <c r="D41" i="3" l="1"/>
  <c r="F42" i="3"/>
  <c r="G42" i="3" s="1"/>
  <c r="E43" i="3"/>
  <c r="D40" i="1"/>
  <c r="G40" i="1"/>
  <c r="E42" i="1"/>
  <c r="F41" i="1"/>
  <c r="F64" i="4"/>
  <c r="H31" i="4"/>
  <c r="I30" i="4"/>
  <c r="E44" i="3" l="1"/>
  <c r="F43" i="3"/>
  <c r="G43" i="3" s="1"/>
  <c r="D42" i="3"/>
  <c r="J30" i="4"/>
  <c r="G41" i="1"/>
  <c r="D41" i="1"/>
  <c r="I31" i="4"/>
  <c r="H32" i="4"/>
  <c r="E43" i="1"/>
  <c r="F42" i="1"/>
  <c r="D43" i="3" l="1"/>
  <c r="E45" i="3"/>
  <c r="F44" i="3"/>
  <c r="G44" i="3" s="1"/>
  <c r="I32" i="4"/>
  <c r="H33" i="4"/>
  <c r="E44" i="1"/>
  <c r="F43" i="1"/>
  <c r="G42" i="1"/>
  <c r="D42" i="1"/>
  <c r="J31" i="4"/>
  <c r="E46" i="3" l="1"/>
  <c r="F45" i="3"/>
  <c r="G45" i="3" s="1"/>
  <c r="D44" i="3"/>
  <c r="E45" i="1"/>
  <c r="F44" i="1"/>
  <c r="I33" i="4"/>
  <c r="H34" i="4"/>
  <c r="D43" i="1"/>
  <c r="G43" i="1"/>
  <c r="J32" i="4"/>
  <c r="D45" i="3" l="1"/>
  <c r="E47" i="3"/>
  <c r="F46" i="3"/>
  <c r="G46" i="3" s="1"/>
  <c r="I34" i="4"/>
  <c r="H35" i="4"/>
  <c r="G44" i="1"/>
  <c r="D44" i="1"/>
  <c r="J33" i="4"/>
  <c r="E46" i="1"/>
  <c r="F45" i="1"/>
  <c r="D46" i="3" l="1"/>
  <c r="F47" i="3"/>
  <c r="G47" i="3" s="1"/>
  <c r="E48" i="3"/>
  <c r="F46" i="1"/>
  <c r="E47" i="1"/>
  <c r="I35" i="4"/>
  <c r="H36" i="4"/>
  <c r="D45" i="1"/>
  <c r="G45" i="1"/>
  <c r="J34" i="4"/>
  <c r="E49" i="3" l="1"/>
  <c r="F48" i="3"/>
  <c r="G48" i="3" s="1"/>
  <c r="D47" i="3"/>
  <c r="H37" i="4"/>
  <c r="I36" i="4"/>
  <c r="E48" i="1"/>
  <c r="F47" i="1"/>
  <c r="J35" i="4"/>
  <c r="D46" i="1"/>
  <c r="G46" i="1"/>
  <c r="D48" i="3" l="1"/>
  <c r="E50" i="3"/>
  <c r="F49" i="3"/>
  <c r="G49" i="3" s="1"/>
  <c r="E49" i="1"/>
  <c r="F48" i="1"/>
  <c r="J36" i="4"/>
  <c r="G47" i="1"/>
  <c r="D47" i="1"/>
  <c r="I37" i="4"/>
  <c r="H38" i="4"/>
  <c r="D49" i="3" l="1"/>
  <c r="E51" i="3"/>
  <c r="F50" i="3"/>
  <c r="G50" i="3" s="1"/>
  <c r="J37" i="4"/>
  <c r="H39" i="4"/>
  <c r="I38" i="4"/>
  <c r="D48" i="1"/>
  <c r="G48" i="1"/>
  <c r="F49" i="1"/>
  <c r="E50" i="1"/>
  <c r="D50" i="3" l="1"/>
  <c r="E52" i="3"/>
  <c r="F51" i="3"/>
  <c r="G51" i="3" s="1"/>
  <c r="E51" i="1"/>
  <c r="F50" i="1"/>
  <c r="D49" i="1"/>
  <c r="G49" i="1"/>
  <c r="J38" i="4"/>
  <c r="I39" i="4"/>
  <c r="H40" i="4"/>
  <c r="D51" i="3" l="1"/>
  <c r="F52" i="3"/>
  <c r="G52" i="3" s="1"/>
  <c r="E53" i="3"/>
  <c r="H41" i="4"/>
  <c r="I40" i="4"/>
  <c r="J39" i="4"/>
  <c r="D50" i="1"/>
  <c r="G50" i="1"/>
  <c r="E52" i="1"/>
  <c r="F51" i="1"/>
  <c r="D52" i="3" l="1"/>
  <c r="E54" i="3"/>
  <c r="F53" i="3"/>
  <c r="G53" i="3" s="1"/>
  <c r="E53" i="1"/>
  <c r="F52" i="1"/>
  <c r="D51" i="1"/>
  <c r="G51" i="1"/>
  <c r="J40" i="4"/>
  <c r="I41" i="4"/>
  <c r="H42" i="4"/>
  <c r="F54" i="3" l="1"/>
  <c r="G54" i="3" s="1"/>
  <c r="E55" i="3"/>
  <c r="D53" i="3"/>
  <c r="G52" i="1"/>
  <c r="D52" i="1"/>
  <c r="H43" i="4"/>
  <c r="I42" i="4"/>
  <c r="J41" i="4"/>
  <c r="E54" i="1"/>
  <c r="F53" i="1"/>
  <c r="E56" i="3" l="1"/>
  <c r="F55" i="3"/>
  <c r="G55" i="3" s="1"/>
  <c r="D54" i="3"/>
  <c r="D53" i="1"/>
  <c r="G53" i="1"/>
  <c r="J42" i="4"/>
  <c r="E55" i="1"/>
  <c r="F54" i="1"/>
  <c r="I43" i="4"/>
  <c r="H44" i="4"/>
  <c r="D55" i="3" l="1"/>
  <c r="E57" i="3"/>
  <c r="F56" i="3"/>
  <c r="G56" i="3" s="1"/>
  <c r="G54" i="1"/>
  <c r="D54" i="1"/>
  <c r="I44" i="4"/>
  <c r="H45" i="4"/>
  <c r="E56" i="1"/>
  <c r="F55" i="1"/>
  <c r="J43" i="4"/>
  <c r="D56" i="3" l="1"/>
  <c r="F57" i="3"/>
  <c r="G57" i="3" s="1"/>
  <c r="E58" i="3"/>
  <c r="J44" i="4"/>
  <c r="D55" i="1"/>
  <c r="G55" i="1"/>
  <c r="F56" i="1"/>
  <c r="E57" i="1"/>
  <c r="I45" i="4"/>
  <c r="H46" i="4"/>
  <c r="D57" i="3" l="1"/>
  <c r="E59" i="3"/>
  <c r="F58" i="3"/>
  <c r="G58" i="3" s="1"/>
  <c r="E58" i="1"/>
  <c r="F57" i="1"/>
  <c r="J45" i="4"/>
  <c r="H47" i="4"/>
  <c r="I46" i="4"/>
  <c r="G56" i="1"/>
  <c r="D56" i="1"/>
  <c r="E60" i="3" l="1"/>
  <c r="F59" i="3"/>
  <c r="G59" i="3" s="1"/>
  <c r="D58" i="3"/>
  <c r="J46" i="4"/>
  <c r="G57" i="1"/>
  <c r="D57" i="1"/>
  <c r="I47" i="4"/>
  <c r="H48" i="4"/>
  <c r="F58" i="1"/>
  <c r="E59" i="1"/>
  <c r="D59" i="3" l="1"/>
  <c r="E61" i="3"/>
  <c r="F60" i="3"/>
  <c r="G60" i="3" s="1"/>
  <c r="G58" i="1"/>
  <c r="D58" i="1"/>
  <c r="J47" i="4"/>
  <c r="F59" i="1"/>
  <c r="E60" i="1"/>
  <c r="H49" i="4"/>
  <c r="I48" i="4"/>
  <c r="D60" i="3" l="1"/>
  <c r="E62" i="3"/>
  <c r="F61" i="3"/>
  <c r="G61" i="3" s="1"/>
  <c r="F60" i="1"/>
  <c r="E61" i="1"/>
  <c r="J48" i="4"/>
  <c r="H50" i="4"/>
  <c r="I49" i="4"/>
  <c r="D59" i="1"/>
  <c r="G59" i="1"/>
  <c r="F62" i="3" l="1"/>
  <c r="G62" i="3" s="1"/>
  <c r="E63" i="3"/>
  <c r="D61" i="3"/>
  <c r="J49" i="4"/>
  <c r="I50" i="4"/>
  <c r="E62" i="1"/>
  <c r="F61" i="1"/>
  <c r="D60" i="1"/>
  <c r="G60" i="1"/>
  <c r="E64" i="3" l="1"/>
  <c r="F63" i="3"/>
  <c r="G63" i="3" s="1"/>
  <c r="D62" i="3"/>
  <c r="J50" i="4"/>
  <c r="G61" i="1"/>
  <c r="D61" i="1"/>
  <c r="E63" i="1"/>
  <c r="F62" i="1"/>
  <c r="D63" i="3" l="1"/>
  <c r="E65" i="3"/>
  <c r="F64" i="3"/>
  <c r="G64" i="3" s="1"/>
  <c r="G62" i="1"/>
  <c r="D62" i="1"/>
  <c r="E64" i="1"/>
  <c r="F63" i="1"/>
  <c r="D64" i="3" l="1"/>
  <c r="E66" i="3"/>
  <c r="F65" i="3"/>
  <c r="G65" i="3" s="1"/>
  <c r="E65" i="1"/>
  <c r="F64" i="1"/>
  <c r="D63" i="1"/>
  <c r="G63" i="1"/>
  <c r="D65" i="3" l="1"/>
  <c r="E67" i="3"/>
  <c r="F66" i="3"/>
  <c r="G66" i="3" s="1"/>
  <c r="G64" i="1"/>
  <c r="D64" i="1"/>
  <c r="E66" i="1"/>
  <c r="F65" i="1"/>
  <c r="F67" i="3" l="1"/>
  <c r="G67" i="3" s="1"/>
  <c r="E68" i="3"/>
  <c r="D66" i="3"/>
  <c r="D65" i="1"/>
  <c r="G65" i="1"/>
  <c r="F66" i="1"/>
  <c r="E67" i="1"/>
  <c r="E69" i="3" l="1"/>
  <c r="F68" i="3"/>
  <c r="G68" i="3" s="1"/>
  <c r="D67" i="3"/>
  <c r="E68" i="1"/>
  <c r="F67" i="1"/>
  <c r="D66" i="1"/>
  <c r="G66" i="1"/>
  <c r="D68" i="3" l="1"/>
  <c r="E70" i="3"/>
  <c r="F69" i="3"/>
  <c r="G69" i="3" s="1"/>
  <c r="H58" i="4"/>
  <c r="D67" i="1"/>
  <c r="G67" i="1"/>
  <c r="E69" i="1"/>
  <c r="F68" i="1"/>
  <c r="E71" i="3" l="1"/>
  <c r="F70" i="3"/>
  <c r="G70" i="3" s="1"/>
  <c r="D69" i="3"/>
  <c r="D68" i="1"/>
  <c r="G68" i="1"/>
  <c r="H59" i="4"/>
  <c r="I58" i="4"/>
  <c r="F69" i="1"/>
  <c r="E70" i="1"/>
  <c r="D70" i="3" l="1"/>
  <c r="E72" i="3"/>
  <c r="F71" i="3"/>
  <c r="G71" i="3" s="1"/>
  <c r="D69" i="1"/>
  <c r="G69" i="1"/>
  <c r="E71" i="1"/>
  <c r="F70" i="1"/>
  <c r="J58" i="4"/>
  <c r="I59" i="4"/>
  <c r="H60" i="4"/>
  <c r="F72" i="3" l="1"/>
  <c r="G72" i="3" s="1"/>
  <c r="E73" i="3"/>
  <c r="D71" i="3"/>
  <c r="H61" i="4"/>
  <c r="I60" i="4"/>
  <c r="D70" i="1"/>
  <c r="G70" i="1"/>
  <c r="J59" i="4"/>
  <c r="E72" i="1"/>
  <c r="F71" i="1"/>
  <c r="E74" i="3" l="1"/>
  <c r="F73" i="3"/>
  <c r="G73" i="3" s="1"/>
  <c r="H62" i="4"/>
  <c r="D72" i="3"/>
  <c r="E73" i="1"/>
  <c r="F72" i="1"/>
  <c r="J60" i="4"/>
  <c r="D71" i="1"/>
  <c r="G71" i="1"/>
  <c r="I61" i="4"/>
  <c r="I62" i="4" l="1"/>
  <c r="J62" i="4"/>
  <c r="D73" i="3"/>
  <c r="H63" i="4"/>
  <c r="E75" i="3"/>
  <c r="F74" i="3"/>
  <c r="G74" i="3" s="1"/>
  <c r="J61" i="4"/>
  <c r="G72" i="1"/>
  <c r="D72" i="1"/>
  <c r="E74" i="1"/>
  <c r="F73" i="1"/>
  <c r="I63" i="4" l="1"/>
  <c r="J63" i="4"/>
  <c r="D74" i="3"/>
  <c r="E76" i="3"/>
  <c r="F75" i="3"/>
  <c r="G75" i="3" s="1"/>
  <c r="H64" i="4"/>
  <c r="D73" i="1"/>
  <c r="G73" i="1"/>
  <c r="E75" i="1"/>
  <c r="F74" i="1"/>
  <c r="I64" i="4" l="1"/>
  <c r="J64" i="4"/>
  <c r="D75" i="3"/>
  <c r="E77" i="3"/>
  <c r="F76" i="3"/>
  <c r="G76" i="3" s="1"/>
  <c r="D74" i="1"/>
  <c r="G74" i="1"/>
  <c r="E76" i="1"/>
  <c r="F75" i="1"/>
  <c r="D76" i="3" l="1"/>
  <c r="F77" i="3"/>
  <c r="G77" i="3" s="1"/>
  <c r="E78" i="3"/>
  <c r="D75" i="1"/>
  <c r="G75" i="1"/>
  <c r="F76" i="1"/>
  <c r="E77" i="1"/>
  <c r="E79" i="3" l="1"/>
  <c r="F78" i="3"/>
  <c r="G78" i="3" s="1"/>
  <c r="D77" i="3"/>
  <c r="E78" i="1"/>
  <c r="F77" i="1"/>
  <c r="G76" i="1"/>
  <c r="D76" i="1"/>
  <c r="D78" i="3" l="1"/>
  <c r="F79" i="3"/>
  <c r="G79" i="3" s="1"/>
  <c r="E80" i="3"/>
  <c r="G77" i="1"/>
  <c r="D77" i="1"/>
  <c r="F78" i="1"/>
  <c r="E79" i="1"/>
  <c r="E81" i="3" l="1"/>
  <c r="F80" i="3"/>
  <c r="G80" i="3" s="1"/>
  <c r="D79" i="3"/>
  <c r="G78" i="1"/>
  <c r="D78" i="1"/>
  <c r="F79" i="1"/>
  <c r="E80" i="1"/>
  <c r="D80" i="3" l="1"/>
  <c r="E82" i="3"/>
  <c r="F81" i="3"/>
  <c r="G81" i="3" s="1"/>
  <c r="F80" i="1"/>
  <c r="E81" i="1"/>
  <c r="D79" i="1"/>
  <c r="G79" i="1"/>
  <c r="F82" i="3" l="1"/>
  <c r="G82" i="3" s="1"/>
  <c r="E83" i="3"/>
  <c r="D81" i="3"/>
  <c r="E82" i="1"/>
  <c r="F81" i="1"/>
  <c r="D80" i="1"/>
  <c r="G80" i="1"/>
  <c r="E84" i="3" l="1"/>
  <c r="F83" i="3"/>
  <c r="G83" i="3" s="1"/>
  <c r="D82" i="3"/>
  <c r="G81" i="1"/>
  <c r="D81" i="1"/>
  <c r="E83" i="1"/>
  <c r="F82" i="1"/>
  <c r="D83" i="3" l="1"/>
  <c r="E85" i="3"/>
  <c r="F84" i="3"/>
  <c r="G84" i="3" s="1"/>
  <c r="G82" i="1"/>
  <c r="D82" i="1"/>
  <c r="E84" i="1"/>
  <c r="F83" i="1"/>
  <c r="D84" i="3" l="1"/>
  <c r="E86" i="3"/>
  <c r="F85" i="3"/>
  <c r="G85" i="3" s="1"/>
  <c r="D83" i="1"/>
  <c r="G83" i="1"/>
  <c r="E85" i="1"/>
  <c r="F84" i="1"/>
  <c r="D85" i="3" l="1"/>
  <c r="E87" i="3"/>
  <c r="F86" i="3"/>
  <c r="G86" i="3" s="1"/>
  <c r="G84" i="1"/>
  <c r="D84" i="1"/>
  <c r="E86" i="1"/>
  <c r="F85" i="1"/>
  <c r="D86" i="3" l="1"/>
  <c r="F87" i="3"/>
  <c r="G87" i="3" s="1"/>
  <c r="E88" i="3"/>
  <c r="F86" i="1"/>
  <c r="E87" i="1"/>
  <c r="D85" i="1"/>
  <c r="G85" i="1"/>
  <c r="E89" i="3" l="1"/>
  <c r="F88" i="3"/>
  <c r="G88" i="3" s="1"/>
  <c r="D87" i="3"/>
  <c r="E88" i="1"/>
  <c r="F87" i="1"/>
  <c r="D86" i="1"/>
  <c r="G86" i="1"/>
  <c r="D88" i="3" l="1"/>
  <c r="E90" i="3"/>
  <c r="F89" i="3"/>
  <c r="G89" i="3" s="1"/>
  <c r="D87" i="1"/>
  <c r="G87" i="1"/>
  <c r="E89" i="1"/>
  <c r="F88" i="1"/>
  <c r="D89" i="3" l="1"/>
  <c r="E91" i="3"/>
  <c r="F90" i="3"/>
  <c r="G90" i="3" s="1"/>
  <c r="D88" i="1"/>
  <c r="G88" i="1"/>
  <c r="F89" i="1"/>
  <c r="E90" i="1"/>
  <c r="D90" i="3" l="1"/>
  <c r="E92" i="3"/>
  <c r="F91" i="3"/>
  <c r="G91" i="3" s="1"/>
  <c r="E91" i="1"/>
  <c r="F90" i="1"/>
  <c r="D89" i="1"/>
  <c r="G89" i="1"/>
  <c r="D91" i="3" l="1"/>
  <c r="F92" i="3"/>
  <c r="G92" i="3" s="1"/>
  <c r="E93" i="3"/>
  <c r="D90" i="1"/>
  <c r="G90" i="1"/>
  <c r="E92" i="1"/>
  <c r="F91" i="1"/>
  <c r="E94" i="3" l="1"/>
  <c r="F93" i="3"/>
  <c r="G93" i="3" s="1"/>
  <c r="D92" i="3"/>
  <c r="D91" i="1"/>
  <c r="G91" i="1"/>
  <c r="E93" i="1"/>
  <c r="F92" i="1"/>
  <c r="D93" i="3" l="1"/>
  <c r="E95" i="3"/>
  <c r="F94" i="3"/>
  <c r="G94" i="3" s="1"/>
  <c r="G92" i="1"/>
  <c r="D92" i="1"/>
  <c r="E94" i="1"/>
  <c r="F93" i="1"/>
  <c r="E96" i="3" l="1"/>
  <c r="F95" i="3"/>
  <c r="G95" i="3" s="1"/>
  <c r="D94" i="3"/>
  <c r="E95" i="1"/>
  <c r="F94" i="1"/>
  <c r="D93" i="1"/>
  <c r="G93" i="1"/>
  <c r="D95" i="3" l="1"/>
  <c r="E97" i="3"/>
  <c r="F96" i="3"/>
  <c r="G96" i="3" s="1"/>
  <c r="D94" i="1"/>
  <c r="G94" i="1"/>
  <c r="E96" i="1"/>
  <c r="F95" i="1"/>
  <c r="D96" i="3" l="1"/>
  <c r="F97" i="3"/>
  <c r="G97" i="3" s="1"/>
  <c r="E98" i="3"/>
  <c r="D95" i="1"/>
  <c r="G95" i="1"/>
  <c r="F96" i="1"/>
  <c r="E97" i="1"/>
  <c r="E99" i="3" l="1"/>
  <c r="F98" i="3"/>
  <c r="G98" i="3" s="1"/>
  <c r="D97" i="3"/>
  <c r="E98" i="1"/>
  <c r="F97" i="1"/>
  <c r="G96" i="1"/>
  <c r="D96" i="1"/>
  <c r="D98" i="3" l="1"/>
  <c r="E100" i="3"/>
  <c r="F99" i="3"/>
  <c r="G99" i="3" s="1"/>
  <c r="G97" i="1"/>
  <c r="D97" i="1"/>
  <c r="F98" i="1"/>
  <c r="E99" i="1"/>
  <c r="D99" i="3" l="1"/>
  <c r="E101" i="3"/>
  <c r="F100" i="3"/>
  <c r="G100" i="3" s="1"/>
  <c r="G98" i="1"/>
  <c r="D98" i="1"/>
  <c r="F99" i="1"/>
  <c r="E100" i="1"/>
  <c r="D100" i="3" l="1"/>
  <c r="E102" i="3"/>
  <c r="F102" i="3" s="1"/>
  <c r="G102" i="3" s="1"/>
  <c r="F101" i="3"/>
  <c r="G101" i="3" s="1"/>
  <c r="D99" i="1"/>
  <c r="G99" i="1"/>
  <c r="F100" i="1"/>
  <c r="E101" i="1"/>
  <c r="D101" i="3" l="1"/>
  <c r="J7" i="3"/>
  <c r="D102" i="3"/>
  <c r="J6" i="3"/>
  <c r="D100" i="1"/>
  <c r="G100" i="1"/>
  <c r="E102" i="1"/>
  <c r="F101" i="1"/>
  <c r="J8" i="3" l="1"/>
  <c r="G6" i="3" s="1"/>
  <c r="F102" i="1"/>
  <c r="G101" i="1"/>
  <c r="D101" i="1"/>
  <c r="J10" i="3" l="1"/>
  <c r="J9" i="3"/>
  <c r="G102" i="1"/>
  <c r="J7" i="1" s="1"/>
  <c r="D102" i="1"/>
  <c r="J6" i="1"/>
  <c r="J8" i="1" l="1"/>
  <c r="J9" i="1"/>
  <c r="F30" i="4" l="1"/>
  <c r="G6" i="1"/>
  <c r="J10" i="1"/>
  <c r="E30" i="4" l="1"/>
  <c r="B30" i="4" s="1"/>
</calcChain>
</file>

<file path=xl/sharedStrings.xml><?xml version="1.0" encoding="utf-8"?>
<sst xmlns="http://schemas.openxmlformats.org/spreadsheetml/2006/main" count="60" uniqueCount="34">
  <si>
    <t>PAYMENT PLAN</t>
  </si>
  <si>
    <t>UNIT NUMBER</t>
  </si>
  <si>
    <t>SIZE SQM</t>
  </si>
  <si>
    <t>PRICE</t>
  </si>
  <si>
    <t>VIEW</t>
  </si>
  <si>
    <t>MANAGEMENT FEES</t>
  </si>
  <si>
    <t>Date</t>
  </si>
  <si>
    <t>%</t>
  </si>
  <si>
    <t>Amount</t>
  </si>
  <si>
    <t>Frequency</t>
  </si>
  <si>
    <t>INPUTS:</t>
  </si>
  <si>
    <t>Payment Basis</t>
  </si>
  <si>
    <t>Monthly</t>
  </si>
  <si>
    <t>Price:</t>
  </si>
  <si>
    <t>Total %</t>
  </si>
  <si>
    <t>Down Payment</t>
  </si>
  <si>
    <t>QAR</t>
  </si>
  <si>
    <t>Handover</t>
  </si>
  <si>
    <t>Diff.</t>
  </si>
  <si>
    <t>Handover requirement</t>
  </si>
  <si>
    <t>Gross</t>
  </si>
  <si>
    <t>Handover date</t>
  </si>
  <si>
    <t>Days to handover</t>
  </si>
  <si>
    <t>Pre-handover Periodicity</t>
  </si>
  <si>
    <t>Post Handover Years</t>
  </si>
  <si>
    <t>Post-Handover Periodicity</t>
  </si>
  <si>
    <t>Pre-Handover pmt</t>
  </si>
  <si>
    <t xml:space="preserve">Post-Handover pmt </t>
  </si>
  <si>
    <t>POST</t>
  </si>
  <si>
    <t>PRE</t>
  </si>
  <si>
    <t>CHOOSE</t>
  </si>
  <si>
    <t>Semi Annual</t>
  </si>
  <si>
    <t>Thirty Five Waterfront</t>
  </si>
  <si>
    <t>Side Sea 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</si>
</sst>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_ ;\-#,##0.00\ 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002060"/>
      <name val="Arial"/>
      <family val="2"/>
    </font>
    <font>
      <sz val="10"/>
      <name val="Arial"/>
      <family val="2"/>
    </font>
    <font>
      <sz val="10"/>
      <color rgb="FF006100"/>
      <name val="Arial"/>
      <family val="2"/>
    </font>
    <font>
      <sz val="10"/>
      <color theme="4"/>
      <name val="Arial"/>
      <family val="2"/>
    </font>
    <font>
      <i/>
      <sz val="8"/>
      <color theme="1"/>
      <name val="Arial"/>
      <family val="2"/>
    </font>
    <font>
      <b/>
      <sz val="14"/>
      <color theme="0"/>
      <name val="Arial"/>
      <family val="2"/>
    </font>
    <font>
      <sz val="14"/>
      <color theme="0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Arial"/>
      <family val="2"/>
    </font>
    <font>
      <sz val="36"/>
      <color theme="1"/>
      <name val="Arial"/>
      <family val="2"/>
    </font>
    <font>
      <sz val="36"/>
      <color rgb="FF122F42"/>
      <name val="Arial"/>
      <family val="2"/>
    </font>
    <font>
      <b/>
      <sz val="16"/>
      <color theme="0"/>
      <name val="Arial"/>
      <family val="2"/>
    </font>
    <font>
      <sz val="16"/>
      <color theme="0"/>
      <name val="Arial"/>
      <family val="2"/>
    </font>
    <font>
      <sz val="16"/>
      <color rgb="FF476D74"/>
      <name val="Arial"/>
      <family val="2"/>
    </font>
    <font>
      <sz val="14"/>
      <name val="Arial"/>
      <family val="2"/>
    </font>
    <font>
      <b/>
      <sz val="36"/>
      <color rgb="FF003A61"/>
      <name val="Arial"/>
      <family val="2"/>
    </font>
    <font>
      <sz val="36"/>
      <color rgb="FF003A6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3A6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476D74"/>
      </bottom>
      <diagonal/>
    </border>
    <border>
      <left style="medium">
        <color rgb="FF003A61"/>
      </left>
      <right/>
      <top style="medium">
        <color rgb="FF003A61"/>
      </top>
      <bottom style="medium">
        <color rgb="FF003A61"/>
      </bottom>
      <diagonal/>
    </border>
    <border>
      <left/>
      <right style="medium">
        <color rgb="FF003A61"/>
      </right>
      <top style="medium">
        <color rgb="FF003A61"/>
      </top>
      <bottom style="medium">
        <color rgb="FF003A61"/>
      </bottom>
      <diagonal/>
    </border>
    <border>
      <left/>
      <right/>
      <top style="medium">
        <color rgb="FF003A61"/>
      </top>
      <bottom/>
      <diagonal/>
    </border>
    <border>
      <left/>
      <right style="medium">
        <color rgb="FF003A61"/>
      </right>
      <top style="medium">
        <color rgb="FF003A61"/>
      </top>
      <bottom/>
      <diagonal/>
    </border>
    <border>
      <left/>
      <right style="medium">
        <color rgb="FF003A61"/>
      </right>
      <top/>
      <bottom/>
      <diagonal/>
    </border>
    <border>
      <left/>
      <right style="medium">
        <color rgb="FF003A61"/>
      </right>
      <top/>
      <bottom style="medium">
        <color rgb="FF476D74"/>
      </bottom>
      <diagonal/>
    </border>
    <border>
      <left style="medium">
        <color rgb="FF003A61"/>
      </left>
      <right/>
      <top style="medium">
        <color rgb="FF003A61"/>
      </top>
      <bottom/>
      <diagonal/>
    </border>
    <border>
      <left style="medium">
        <color rgb="FF003A61"/>
      </left>
      <right/>
      <top/>
      <bottom/>
      <diagonal/>
    </border>
    <border>
      <left style="medium">
        <color rgb="FF003A61"/>
      </left>
      <right/>
      <top/>
      <bottom style="medium">
        <color rgb="FF476D74"/>
      </bottom>
      <diagonal/>
    </border>
    <border>
      <left/>
      <right/>
      <top style="medium">
        <color rgb="FF003A61"/>
      </top>
      <bottom style="medium">
        <color rgb="FF003A61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89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5" fillId="0" borderId="1" xfId="0" applyFont="1" applyBorder="1"/>
    <xf numFmtId="0" fontId="4" fillId="3" borderId="0" xfId="0" applyFont="1" applyFill="1"/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right"/>
    </xf>
    <xf numFmtId="39" fontId="3" fillId="3" borderId="0" xfId="1" applyNumberFormat="1" applyFont="1" applyFill="1" applyBorder="1" applyAlignment="1">
      <alignment horizontal="center"/>
    </xf>
    <xf numFmtId="0" fontId="3" fillId="3" borderId="0" xfId="0" applyFont="1" applyFill="1"/>
    <xf numFmtId="17" fontId="5" fillId="3" borderId="0" xfId="0" applyNumberFormat="1" applyFont="1" applyFill="1" applyAlignment="1">
      <alignment horizontal="left"/>
    </xf>
    <xf numFmtId="10" fontId="6" fillId="3" borderId="0" xfId="2" applyNumberFormat="1" applyFont="1" applyFill="1" applyAlignment="1">
      <alignment horizontal="center"/>
    </xf>
    <xf numFmtId="4" fontId="3" fillId="3" borderId="0" xfId="0" applyNumberFormat="1" applyFont="1" applyFill="1" applyAlignment="1">
      <alignment horizontal="center"/>
    </xf>
    <xf numFmtId="10" fontId="3" fillId="3" borderId="0" xfId="0" applyNumberFormat="1" applyFont="1" applyFill="1"/>
    <xf numFmtId="0" fontId="5" fillId="3" borderId="0" xfId="0" applyFont="1" applyFill="1"/>
    <xf numFmtId="10" fontId="5" fillId="3" borderId="0" xfId="0" applyNumberFormat="1" applyFont="1" applyFill="1" applyAlignment="1">
      <alignment horizontal="center"/>
    </xf>
    <xf numFmtId="17" fontId="3" fillId="3" borderId="0" xfId="0" applyNumberFormat="1" applyFont="1" applyFill="1"/>
    <xf numFmtId="17" fontId="3" fillId="3" borderId="0" xfId="0" applyNumberFormat="1" applyFont="1" applyFill="1" applyAlignment="1">
      <alignment horizontal="left"/>
    </xf>
    <xf numFmtId="4" fontId="3" fillId="3" borderId="0" xfId="0" applyNumberFormat="1" applyFont="1" applyFill="1"/>
    <xf numFmtId="10" fontId="5" fillId="3" borderId="0" xfId="0" applyNumberFormat="1" applyFont="1" applyFill="1"/>
    <xf numFmtId="4" fontId="3" fillId="0" borderId="0" xfId="0" applyNumberFormat="1" applyFont="1"/>
    <xf numFmtId="15" fontId="5" fillId="3" borderId="0" xfId="0" applyNumberFormat="1" applyFont="1" applyFill="1" applyAlignment="1">
      <alignment horizontal="center"/>
    </xf>
    <xf numFmtId="0" fontId="7" fillId="2" borderId="0" xfId="3" applyFont="1"/>
    <xf numFmtId="2" fontId="3" fillId="3" borderId="0" xfId="0" applyNumberFormat="1" applyFont="1" applyFill="1" applyAlignment="1">
      <alignment horizontal="center"/>
    </xf>
    <xf numFmtId="164" fontId="3" fillId="3" borderId="0" xfId="1" applyNumberFormat="1" applyFont="1" applyFill="1" applyAlignment="1">
      <alignment horizontal="center"/>
    </xf>
    <xf numFmtId="2" fontId="5" fillId="3" borderId="0" xfId="0" applyNumberFormat="1" applyFont="1" applyFill="1" applyAlignment="1">
      <alignment horizontal="center"/>
    </xf>
    <xf numFmtId="10" fontId="6" fillId="3" borderId="0" xfId="0" applyNumberFormat="1" applyFont="1" applyFill="1"/>
    <xf numFmtId="10" fontId="3" fillId="3" borderId="0" xfId="2" applyNumberFormat="1" applyFont="1" applyFill="1" applyAlignment="1">
      <alignment horizontal="center"/>
    </xf>
    <xf numFmtId="9" fontId="6" fillId="3" borderId="0" xfId="0" applyNumberFormat="1" applyFont="1" applyFill="1"/>
    <xf numFmtId="10" fontId="3" fillId="3" borderId="0" xfId="0" applyNumberFormat="1" applyFont="1" applyFill="1" applyAlignment="1">
      <alignment horizontal="center"/>
    </xf>
    <xf numFmtId="17" fontId="5" fillId="3" borderId="0" xfId="2" applyNumberFormat="1" applyFont="1" applyFill="1" applyAlignment="1">
      <alignment horizontal="left"/>
    </xf>
    <xf numFmtId="0" fontId="4" fillId="3" borderId="0" xfId="0" applyFont="1" applyFill="1" applyAlignment="1">
      <alignment horizontal="center"/>
    </xf>
    <xf numFmtId="17" fontId="3" fillId="0" borderId="0" xfId="0" applyNumberFormat="1" applyFont="1"/>
    <xf numFmtId="10" fontId="8" fillId="3" borderId="0" xfId="2" applyNumberFormat="1" applyFont="1" applyFill="1"/>
    <xf numFmtId="10" fontId="6" fillId="3" borderId="0" xfId="2" applyNumberFormat="1" applyFont="1" applyFill="1" applyAlignment="1" applyProtection="1">
      <alignment horizontal="center"/>
    </xf>
    <xf numFmtId="10" fontId="3" fillId="3" borderId="0" xfId="2" applyNumberFormat="1" applyFont="1" applyFill="1" applyAlignment="1" applyProtection="1">
      <alignment horizontal="center"/>
    </xf>
    <xf numFmtId="0" fontId="9" fillId="0" borderId="0" xfId="0" applyFont="1"/>
    <xf numFmtId="0" fontId="7" fillId="2" borderId="0" xfId="3" applyFont="1" applyProtection="1"/>
    <xf numFmtId="10" fontId="8" fillId="3" borderId="0" xfId="2" applyNumberFormat="1" applyFont="1" applyFill="1" applyProtection="1"/>
    <xf numFmtId="10" fontId="5" fillId="4" borderId="0" xfId="0" applyNumberFormat="1" applyFont="1" applyFill="1" applyAlignment="1" applyProtection="1">
      <alignment horizontal="center"/>
      <protection locked="0"/>
    </xf>
    <xf numFmtId="15" fontId="5" fillId="4" borderId="0" xfId="0" applyNumberFormat="1" applyFont="1" applyFill="1" applyAlignment="1" applyProtection="1">
      <alignment horizontal="center"/>
      <protection locked="0"/>
    </xf>
    <xf numFmtId="2" fontId="5" fillId="4" borderId="0" xfId="0" applyNumberFormat="1" applyFont="1" applyFill="1" applyAlignment="1" applyProtection="1">
      <alignment horizontal="center"/>
      <protection locked="0"/>
    </xf>
    <xf numFmtId="17" fontId="5" fillId="4" borderId="0" xfId="2" applyNumberFormat="1" applyFont="1" applyFill="1" applyAlignment="1" applyProtection="1">
      <alignment horizontal="left"/>
      <protection locked="0"/>
    </xf>
    <xf numFmtId="0" fontId="5" fillId="4" borderId="1" xfId="0" applyFont="1" applyFill="1" applyBorder="1" applyAlignment="1" applyProtection="1">
      <alignment horizontal="center"/>
      <protection locked="0"/>
    </xf>
    <xf numFmtId="0" fontId="3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5" fontId="3" fillId="3" borderId="0" xfId="0" applyNumberFormat="1" applyFont="1" applyFill="1" applyAlignment="1">
      <alignment horizontal="center"/>
    </xf>
    <xf numFmtId="0" fontId="13" fillId="0" borderId="0" xfId="0" applyFont="1"/>
    <xf numFmtId="0" fontId="3" fillId="0" borderId="0" xfId="0" applyFont="1" applyAlignment="1">
      <alignment horizontal="centerContinuous" wrapText="1"/>
    </xf>
    <xf numFmtId="0" fontId="14" fillId="0" borderId="0" xfId="0" applyFont="1"/>
    <xf numFmtId="0" fontId="14" fillId="0" borderId="0" xfId="0" applyFont="1" applyAlignment="1">
      <alignment horizontal="centerContinuous" wrapText="1"/>
    </xf>
    <xf numFmtId="0" fontId="15" fillId="0" borderId="0" xfId="0" applyFont="1" applyAlignment="1">
      <alignment horizontal="centerContinuous" wrapText="1"/>
    </xf>
    <xf numFmtId="0" fontId="13" fillId="3" borderId="0" xfId="0" applyFont="1" applyFill="1"/>
    <xf numFmtId="0" fontId="12" fillId="0" borderId="0" xfId="0" applyFont="1"/>
    <xf numFmtId="10" fontId="19" fillId="3" borderId="0" xfId="2" applyNumberFormat="1" applyFont="1" applyFill="1" applyBorder="1" applyAlignment="1" applyProtection="1">
      <alignment horizontal="center"/>
    </xf>
    <xf numFmtId="0" fontId="11" fillId="3" borderId="0" xfId="0" applyFont="1" applyFill="1"/>
    <xf numFmtId="10" fontId="19" fillId="3" borderId="2" xfId="2" applyNumberFormat="1" applyFont="1" applyFill="1" applyBorder="1" applyAlignment="1" applyProtection="1">
      <alignment horizontal="center"/>
    </xf>
    <xf numFmtId="15" fontId="13" fillId="3" borderId="0" xfId="0" applyNumberFormat="1" applyFont="1" applyFill="1" applyAlignment="1">
      <alignment horizontal="center"/>
    </xf>
    <xf numFmtId="10" fontId="19" fillId="3" borderId="0" xfId="2" applyNumberFormat="1" applyFont="1" applyFill="1" applyAlignment="1" applyProtection="1">
      <alignment horizontal="center"/>
    </xf>
    <xf numFmtId="4" fontId="13" fillId="3" borderId="0" xfId="0" applyNumberFormat="1" applyFont="1" applyFill="1" applyAlignment="1">
      <alignment horizontal="center"/>
    </xf>
    <xf numFmtId="0" fontId="5" fillId="0" borderId="0" xfId="0" applyFont="1" applyAlignment="1">
      <alignment horizontal="left"/>
    </xf>
    <xf numFmtId="39" fontId="5" fillId="4" borderId="0" xfId="5" applyNumberFormat="1" applyFont="1" applyFill="1" applyBorder="1" applyAlignment="1" applyProtection="1">
      <alignment horizontal="center"/>
      <protection locked="0"/>
    </xf>
    <xf numFmtId="164" fontId="3" fillId="3" borderId="0" xfId="5" applyNumberFormat="1" applyFont="1" applyFill="1" applyAlignment="1" applyProtection="1">
      <alignment horizontal="center"/>
    </xf>
    <xf numFmtId="15" fontId="5" fillId="3" borderId="0" xfId="0" applyNumberFormat="1" applyFont="1" applyFill="1" applyAlignment="1" applyProtection="1">
      <alignment horizontal="center"/>
      <protection locked="0"/>
    </xf>
    <xf numFmtId="49" fontId="16" fillId="5" borderId="0" xfId="0" applyNumberFormat="1" applyFont="1" applyFill="1" applyAlignment="1">
      <alignment horizontal="centerContinuous"/>
    </xf>
    <xf numFmtId="0" fontId="17" fillId="5" borderId="0" xfId="0" applyFont="1" applyFill="1" applyAlignment="1">
      <alignment horizontal="centerContinuous"/>
    </xf>
    <xf numFmtId="15" fontId="13" fillId="3" borderId="0" xfId="0" applyNumberFormat="1" applyFont="1" applyFill="1" applyBorder="1" applyAlignment="1">
      <alignment horizontal="center"/>
    </xf>
    <xf numFmtId="4" fontId="13" fillId="3" borderId="0" xfId="0" applyNumberFormat="1" applyFont="1" applyFill="1" applyBorder="1" applyAlignment="1">
      <alignment horizontal="center"/>
    </xf>
    <xf numFmtId="0" fontId="18" fillId="0" borderId="3" xfId="0" applyFont="1" applyBorder="1" applyAlignment="1">
      <alignment horizontal="centerContinuous"/>
    </xf>
    <xf numFmtId="0" fontId="18" fillId="0" borderId="4" xfId="0" applyFont="1" applyBorder="1" applyAlignment="1">
      <alignment horizontal="centerContinuous"/>
    </xf>
    <xf numFmtId="39" fontId="18" fillId="0" borderId="3" xfId="0" applyNumberFormat="1" applyFont="1" applyBorder="1" applyAlignment="1">
      <alignment horizontal="centerContinuous"/>
    </xf>
    <xf numFmtId="4" fontId="18" fillId="0" borderId="3" xfId="0" applyNumberFormat="1" applyFont="1" applyBorder="1" applyAlignment="1">
      <alignment horizontal="centerContinuous"/>
    </xf>
    <xf numFmtId="0" fontId="20" fillId="0" borderId="0" xfId="0" applyFont="1" applyAlignment="1">
      <alignment horizontal="centerContinuous" wrapText="1"/>
    </xf>
    <xf numFmtId="0" fontId="21" fillId="0" borderId="0" xfId="0" applyFont="1" applyAlignment="1">
      <alignment horizontal="centerContinuous"/>
    </xf>
    <xf numFmtId="0" fontId="21" fillId="0" borderId="0" xfId="0" applyFont="1" applyAlignment="1">
      <alignment horizontal="centerContinuous" wrapText="1"/>
    </xf>
    <xf numFmtId="0" fontId="10" fillId="5" borderId="5" xfId="0" applyFont="1" applyFill="1" applyBorder="1" applyAlignment="1">
      <alignment horizontal="center"/>
    </xf>
    <xf numFmtId="0" fontId="10" fillId="5" borderId="6" xfId="0" applyFont="1" applyFill="1" applyBorder="1" applyAlignment="1">
      <alignment horizontal="center"/>
    </xf>
    <xf numFmtId="4" fontId="13" fillId="3" borderId="7" xfId="0" applyNumberFormat="1" applyFont="1" applyFill="1" applyBorder="1" applyAlignment="1">
      <alignment horizontal="center"/>
    </xf>
    <xf numFmtId="4" fontId="13" fillId="3" borderId="8" xfId="0" applyNumberFormat="1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  <xf numFmtId="15" fontId="13" fillId="3" borderId="10" xfId="0" applyNumberFormat="1" applyFont="1" applyFill="1" applyBorder="1" applyAlignment="1">
      <alignment horizontal="center"/>
    </xf>
    <xf numFmtId="15" fontId="13" fillId="3" borderId="11" xfId="0" applyNumberFormat="1" applyFont="1" applyFill="1" applyBorder="1" applyAlignment="1">
      <alignment horizontal="center"/>
    </xf>
    <xf numFmtId="0" fontId="10" fillId="5" borderId="3" xfId="0" applyFont="1" applyFill="1" applyBorder="1" applyAlignment="1">
      <alignment horizontal="center"/>
    </xf>
    <xf numFmtId="0" fontId="10" fillId="5" borderId="12" xfId="0" applyFont="1" applyFill="1" applyBorder="1" applyAlignment="1">
      <alignment horizontal="center"/>
    </xf>
    <xf numFmtId="0" fontId="10" fillId="5" borderId="4" xfId="0" applyFont="1" applyFill="1" applyBorder="1" applyAlignment="1">
      <alignment horizontal="center"/>
    </xf>
    <xf numFmtId="15" fontId="13" fillId="3" borderId="3" xfId="0" applyNumberFormat="1" applyFont="1" applyFill="1" applyBorder="1" applyAlignment="1">
      <alignment horizontal="center"/>
    </xf>
    <xf numFmtId="10" fontId="19" fillId="3" borderId="12" xfId="2" applyNumberFormat="1" applyFont="1" applyFill="1" applyBorder="1" applyAlignment="1" applyProtection="1">
      <alignment horizontal="center"/>
    </xf>
    <xf numFmtId="4" fontId="13" fillId="3" borderId="4" xfId="0" applyNumberFormat="1" applyFont="1" applyFill="1" applyBorder="1" applyAlignment="1">
      <alignment horizontal="center"/>
    </xf>
  </cellXfs>
  <cellStyles count="6">
    <cellStyle name="Comma" xfId="1" builtinId="3"/>
    <cellStyle name="Comma 2" xfId="5" xr:uid="{DE756F3E-6879-4562-9B35-0E3110344A89}"/>
    <cellStyle name="Good" xfId="3" builtinId="26"/>
    <cellStyle name="Normal" xfId="0" builtinId="0"/>
    <cellStyle name="Normal 2" xfId="4" xr:uid="{84C81F19-D88B-484A-BDD6-90023084BF1B}"/>
    <cellStyle name="Percent" xfId="2" builtinId="5"/>
  </cellStyles>
  <dxfs count="4">
    <dxf>
      <border>
        <right style="thin">
          <color rgb="FF476D74"/>
        </right>
        <vertical/>
        <horizontal/>
      </border>
    </dxf>
    <dxf>
      <border>
        <left style="thin">
          <color rgb="FF476D74"/>
        </left>
        <vertical/>
        <horizontal/>
      </border>
    </dxf>
    <dxf>
      <border>
        <left/>
        <right/>
        <top style="thin">
          <color rgb="FF476D74"/>
        </top>
        <bottom style="thin">
          <color rgb="FF476D74"/>
        </bottom>
        <vertical/>
        <horizontal/>
      </border>
    </dxf>
    <dxf>
      <border>
        <bottom style="thin">
          <color rgb="FF476D74"/>
        </bottom>
        <vertical/>
        <horizontal/>
      </border>
    </dxf>
  </dxfs>
  <tableStyles count="0" defaultTableStyle="TableStyleMedium2" defaultPivotStyle="PivotStyleLight16"/>
  <colors>
    <mruColors>
      <color rgb="FF003A61"/>
      <color rgb="FF476D74"/>
      <color rgb="FF122F42"/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6350</xdr:rowOff>
    </xdr:from>
    <xdr:to>
      <xdr:col>4</xdr:col>
      <xdr:colOff>65150</xdr:colOff>
      <xdr:row>5</xdr:row>
      <xdr:rowOff>31750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9DF5EB-86DE-457D-AD98-CFBACB6B98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222" b="48958"/>
        <a:stretch/>
      </xdr:blipFill>
      <xdr:spPr>
        <a:xfrm>
          <a:off x="76200" y="6350"/>
          <a:ext cx="3106800" cy="895350"/>
        </a:xfrm>
        <a:prstGeom prst="rect">
          <a:avLst/>
        </a:prstGeom>
      </xdr:spPr>
    </xdr:pic>
    <xdr:clientData/>
  </xdr:twoCellAnchor>
  <xdr:twoCellAnchor editAs="oneCell">
    <xdr:from>
      <xdr:col>4</xdr:col>
      <xdr:colOff>653144</xdr:colOff>
      <xdr:row>4</xdr:row>
      <xdr:rowOff>20205</xdr:rowOff>
    </xdr:from>
    <xdr:to>
      <xdr:col>9</xdr:col>
      <xdr:colOff>163286</xdr:colOff>
      <xdr:row>12</xdr:row>
      <xdr:rowOff>83374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0388541-CBD1-4151-AB38-665F7F29B5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01" r="10735"/>
        <a:stretch/>
      </xdr:blipFill>
      <xdr:spPr>
        <a:xfrm>
          <a:off x="3619501" y="727776"/>
          <a:ext cx="4095749" cy="1478312"/>
        </a:xfrm>
        <a:prstGeom prst="rect">
          <a:avLst/>
        </a:prstGeom>
      </xdr:spPr>
    </xdr:pic>
    <xdr:clientData/>
  </xdr:twoCellAnchor>
  <xdr:twoCellAnchor editAs="oneCell">
    <xdr:from>
      <xdr:col>9</xdr:col>
      <xdr:colOff>312964</xdr:colOff>
      <xdr:row>0</xdr:row>
      <xdr:rowOff>38100</xdr:rowOff>
    </xdr:from>
    <xdr:to>
      <xdr:col>13</xdr:col>
      <xdr:colOff>192149</xdr:colOff>
      <xdr:row>5</xdr:row>
      <xdr:rowOff>116832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E4B3D9D-77FF-4A80-9866-7DE737AF78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75" t="50837" b="18627"/>
        <a:stretch/>
      </xdr:blipFill>
      <xdr:spPr>
        <a:xfrm>
          <a:off x="7864928" y="38100"/>
          <a:ext cx="2777507" cy="9631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2578C-0FC2-4A49-AD12-5C32234B5FE3}">
  <sheetPr>
    <pageSetUpPr fitToPage="1"/>
  </sheetPr>
  <dimension ref="B1:O126"/>
  <sheetViews>
    <sheetView showGridLines="0" tabSelected="1" topLeftCell="A19" zoomScale="70" zoomScaleNormal="70" workbookViewId="0">
      <selection activeCell="J52" sqref="J52"/>
    </sheetView>
  </sheetViews>
  <sheetFormatPr defaultColWidth="8.7109375" defaultRowHeight="12.75" x14ac:dyDescent="0.2"/>
  <cols>
    <col min="1" max="1" width="10.5703125" style="1" bestFit="1" customWidth="1"/>
    <col min="2" max="2" width="8.7109375" style="2"/>
    <col min="3" max="3" width="10.5703125" style="3" bestFit="1" customWidth="1"/>
    <col min="4" max="6" width="14.5703125" style="1" customWidth="1"/>
    <col min="7" max="7" width="10.85546875" style="1" customWidth="1"/>
    <col min="8" max="10" width="14.5703125" style="1" customWidth="1"/>
    <col min="11" max="11" width="11.42578125" style="1" bestFit="1" customWidth="1"/>
    <col min="12" max="16384" width="8.7109375" style="1"/>
  </cols>
  <sheetData>
    <row r="1" spans="5:10" ht="14.45" customHeight="1" x14ac:dyDescent="0.2"/>
    <row r="2" spans="5:10" ht="13.5" customHeight="1" x14ac:dyDescent="0.2"/>
    <row r="3" spans="5:10" ht="13.5" customHeight="1" x14ac:dyDescent="0.2"/>
    <row r="4" spans="5:10" ht="13.5" customHeight="1" x14ac:dyDescent="0.2"/>
    <row r="5" spans="5:10" ht="13.5" customHeight="1" x14ac:dyDescent="0.2"/>
    <row r="6" spans="5:10" ht="13.5" customHeight="1" x14ac:dyDescent="0.2"/>
    <row r="7" spans="5:10" ht="13.5" customHeight="1" x14ac:dyDescent="0.2"/>
    <row r="8" spans="5:10" ht="13.5" customHeight="1" x14ac:dyDescent="0.2"/>
    <row r="9" spans="5:10" ht="13.5" customHeight="1" x14ac:dyDescent="0.2"/>
    <row r="10" spans="5:10" ht="13.5" customHeight="1" x14ac:dyDescent="0.2"/>
    <row r="11" spans="5:10" ht="13.5" customHeight="1" x14ac:dyDescent="0.2"/>
    <row r="12" spans="5:10" ht="13.5" customHeight="1" x14ac:dyDescent="0.2"/>
    <row r="13" spans="5:10" ht="13.5" customHeight="1" x14ac:dyDescent="0.2"/>
    <row r="14" spans="5:10" ht="13.5" customHeight="1" x14ac:dyDescent="0.55000000000000004">
      <c r="E14" s="50"/>
      <c r="F14" s="50"/>
      <c r="G14" s="50"/>
      <c r="H14" s="50"/>
      <c r="I14" s="50"/>
      <c r="J14" s="50"/>
    </row>
    <row r="15" spans="5:10" ht="36.950000000000003" customHeight="1" x14ac:dyDescent="0.6">
      <c r="E15" s="73" t="s">
        <v>32</v>
      </c>
      <c r="F15" s="74"/>
      <c r="G15" s="75"/>
      <c r="H15" s="75"/>
      <c r="I15" s="75"/>
      <c r="J15" s="75"/>
    </row>
    <row r="16" spans="5:10" ht="36.950000000000003" customHeight="1" x14ac:dyDescent="0.55000000000000004">
      <c r="E16" s="75" t="s">
        <v>0</v>
      </c>
      <c r="F16" s="74"/>
      <c r="G16" s="75"/>
      <c r="H16" s="75"/>
      <c r="I16" s="75"/>
      <c r="J16" s="75"/>
    </row>
    <row r="17" spans="2:15" ht="13.5" customHeight="1" x14ac:dyDescent="0.55000000000000004">
      <c r="E17" s="50"/>
      <c r="F17" s="52"/>
      <c r="G17" s="51"/>
      <c r="H17" s="51"/>
      <c r="I17" s="51"/>
      <c r="J17" s="51"/>
    </row>
    <row r="18" spans="2:15" ht="13.5" customHeight="1" x14ac:dyDescent="0.2">
      <c r="F18" s="49"/>
      <c r="G18" s="49"/>
      <c r="H18" s="49"/>
      <c r="I18" s="49"/>
      <c r="J18" s="49"/>
    </row>
    <row r="19" spans="2:15" ht="13.5" customHeight="1" x14ac:dyDescent="0.2">
      <c r="F19" s="49"/>
      <c r="G19" s="49"/>
      <c r="H19" s="49"/>
      <c r="I19" s="49"/>
      <c r="J19" s="49"/>
    </row>
    <row r="20" spans="2:15" ht="13.5" customHeight="1" thickBot="1" x14ac:dyDescent="0.25"/>
    <row r="21" spans="2:15" ht="20.100000000000001" customHeight="1" thickBot="1" x14ac:dyDescent="0.35">
      <c r="C21" s="1"/>
      <c r="D21" s="65" t="s">
        <v>1</v>
      </c>
      <c r="E21" s="66"/>
      <c r="F21" s="66"/>
      <c r="G21" s="69">
        <v>405</v>
      </c>
      <c r="H21" s="70"/>
    </row>
    <row r="22" spans="2:15" ht="20.100000000000001" customHeight="1" thickBot="1" x14ac:dyDescent="0.35">
      <c r="C22" s="1"/>
      <c r="D22" s="65" t="s">
        <v>2</v>
      </c>
      <c r="E22" s="66"/>
      <c r="F22" s="66"/>
      <c r="G22" s="69">
        <v>120</v>
      </c>
      <c r="H22" s="70"/>
    </row>
    <row r="23" spans="2:15" ht="20.100000000000001" customHeight="1" thickBot="1" x14ac:dyDescent="0.35">
      <c r="C23" s="1"/>
      <c r="D23" s="65" t="s">
        <v>3</v>
      </c>
      <c r="E23" s="66"/>
      <c r="F23" s="66"/>
      <c r="G23" s="71">
        <f>'Payment Plan Simulator'!M5</f>
        <v>1900000</v>
      </c>
      <c r="H23" s="70"/>
    </row>
    <row r="24" spans="2:15" ht="20.100000000000001" customHeight="1" thickBot="1" x14ac:dyDescent="0.35">
      <c r="C24" s="1"/>
      <c r="D24" s="65" t="s">
        <v>4</v>
      </c>
      <c r="E24" s="66"/>
      <c r="F24" s="66"/>
      <c r="G24" s="69" t="s">
        <v>33</v>
      </c>
      <c r="H24" s="70"/>
    </row>
    <row r="25" spans="2:15" ht="20.100000000000001" customHeight="1" thickBot="1" x14ac:dyDescent="0.35">
      <c r="C25" s="1"/>
      <c r="D25" s="65" t="s">
        <v>5</v>
      </c>
      <c r="E25" s="66"/>
      <c r="F25" s="66"/>
      <c r="G25" s="72">
        <f>+G23*0.02</f>
        <v>38000</v>
      </c>
      <c r="H25" s="70"/>
    </row>
    <row r="26" spans="2:15" ht="13.5" customHeight="1" x14ac:dyDescent="0.2">
      <c r="C26" s="1"/>
    </row>
    <row r="27" spans="2:15" ht="13.5" customHeight="1" x14ac:dyDescent="0.25">
      <c r="C27" s="1"/>
      <c r="D27" s="3"/>
      <c r="K27"/>
    </row>
    <row r="28" spans="2:15" ht="14.1" customHeight="1" thickBot="1" x14ac:dyDescent="0.3">
      <c r="C28" s="1"/>
      <c r="D28" s="3"/>
      <c r="K28"/>
    </row>
    <row r="29" spans="2:15" ht="20.100000000000001" customHeight="1" thickBot="1" x14ac:dyDescent="0.35">
      <c r="B29" s="6"/>
      <c r="C29" s="48"/>
      <c r="D29" s="80" t="str">
        <f>'Payment Plan Simulator'!E5</f>
        <v>Date</v>
      </c>
      <c r="E29" s="76" t="str">
        <f>'Payment Plan Simulator'!F5</f>
        <v>%</v>
      </c>
      <c r="F29" s="77" t="str">
        <f>'Payment Plan Simulator'!G5</f>
        <v>Amount</v>
      </c>
      <c r="G29" s="53"/>
      <c r="H29" s="83" t="s">
        <v>6</v>
      </c>
      <c r="I29" s="84" t="s">
        <v>7</v>
      </c>
      <c r="J29" s="85" t="s">
        <v>8</v>
      </c>
      <c r="K29" s="54"/>
    </row>
    <row r="30" spans="2:15" ht="20.100000000000001" customHeight="1" thickBot="1" x14ac:dyDescent="0.35">
      <c r="B30" s="6" t="e">
        <f>IF(E30=#REF!,$K$30,IF(E30=#REF!,$K$31,"instalment"))</f>
        <v>#REF!</v>
      </c>
      <c r="C30" s="48"/>
      <c r="D30" s="81">
        <f>'Payment Plan Simulator'!E6</f>
        <v>46327</v>
      </c>
      <c r="E30" s="55">
        <f>'Payment Plan Simulator'!F6</f>
        <v>0.05</v>
      </c>
      <c r="F30" s="78">
        <f>'Payment Plan Simulator'!G6</f>
        <v>95008</v>
      </c>
      <c r="G30" s="53"/>
      <c r="H30" s="86">
        <f>'Payment Plan Simulator'!E41</f>
        <v>47392</v>
      </c>
      <c r="I30" s="87">
        <f>'Payment Plan Simulator'!F41</f>
        <v>1.3541666666666667E-2</v>
      </c>
      <c r="J30" s="88">
        <f>'Payment Plan Simulator'!G41</f>
        <v>25729</v>
      </c>
      <c r="K30" s="54"/>
      <c r="O30" s="17"/>
    </row>
    <row r="31" spans="2:15" ht="20.100000000000001" customHeight="1" thickBot="1" x14ac:dyDescent="0.35">
      <c r="B31" s="6" t="e">
        <f>IF(E31=#REF!,$K$30,IF(E31=#REF!,$K$31,"instalment"))</f>
        <v>#REF!</v>
      </c>
      <c r="C31" s="48"/>
      <c r="D31" s="81">
        <f>'Payment Plan Simulator'!E7</f>
        <v>46357</v>
      </c>
      <c r="E31" s="55">
        <f>'Payment Plan Simulator'!F7</f>
        <v>-2.3129646346357427E-18</v>
      </c>
      <c r="F31" s="78">
        <f>'Payment Plan Simulator'!G7</f>
        <v>0</v>
      </c>
      <c r="G31" s="53"/>
      <c r="H31" s="86">
        <f>'Payment Plan Simulator'!E42</f>
        <v>47423</v>
      </c>
      <c r="I31" s="87">
        <f>'Payment Plan Simulator'!F42</f>
        <v>1.3541666666666667E-2</v>
      </c>
      <c r="J31" s="88">
        <f>'Payment Plan Simulator'!G42</f>
        <v>25729</v>
      </c>
      <c r="K31" s="54"/>
      <c r="O31" s="17"/>
    </row>
    <row r="32" spans="2:15" ht="20.100000000000001" customHeight="1" thickBot="1" x14ac:dyDescent="0.35">
      <c r="B32" s="6" t="e">
        <f>IF(E32=#REF!,$K$30,IF(E32=#REF!,$K$31,"instalment"))</f>
        <v>#REF!</v>
      </c>
      <c r="C32" s="48"/>
      <c r="D32" s="81">
        <f>'Payment Plan Simulator'!E8</f>
        <v>46388</v>
      </c>
      <c r="E32" s="55">
        <f>'Payment Plan Simulator'!F8</f>
        <v>-2.3129646346357427E-18</v>
      </c>
      <c r="F32" s="78">
        <f>'Payment Plan Simulator'!G8</f>
        <v>0</v>
      </c>
      <c r="G32" s="53"/>
      <c r="H32" s="86">
        <f>'Payment Plan Simulator'!E43</f>
        <v>47453</v>
      </c>
      <c r="I32" s="87">
        <f>'Payment Plan Simulator'!F43</f>
        <v>1.3541666666666667E-2</v>
      </c>
      <c r="J32" s="88">
        <f>'Payment Plan Simulator'!G43</f>
        <v>25729</v>
      </c>
      <c r="K32" s="54"/>
      <c r="O32" s="17"/>
    </row>
    <row r="33" spans="2:15" ht="20.100000000000001" customHeight="1" thickBot="1" x14ac:dyDescent="0.35">
      <c r="B33" s="6" t="e">
        <f>IF(E33=#REF!,$K$30,IF(E33=#REF!,$K$31,"instalment"))</f>
        <v>#REF!</v>
      </c>
      <c r="C33" s="48"/>
      <c r="D33" s="81">
        <f>'Payment Plan Simulator'!E9</f>
        <v>46419</v>
      </c>
      <c r="E33" s="55">
        <f>'Payment Plan Simulator'!F9</f>
        <v>-2.3129646346357427E-18</v>
      </c>
      <c r="F33" s="78">
        <f>'Payment Plan Simulator'!G9</f>
        <v>0</v>
      </c>
      <c r="G33" s="53"/>
      <c r="H33" s="86">
        <f>'Payment Plan Simulator'!E44</f>
        <v>47484</v>
      </c>
      <c r="I33" s="87">
        <f>'Payment Plan Simulator'!F44</f>
        <v>1.3541666666666667E-2</v>
      </c>
      <c r="J33" s="88">
        <f>'Payment Plan Simulator'!G44</f>
        <v>25729</v>
      </c>
      <c r="K33" s="54"/>
      <c r="O33" s="17"/>
    </row>
    <row r="34" spans="2:15" ht="20.100000000000001" customHeight="1" thickBot="1" x14ac:dyDescent="0.35">
      <c r="B34" s="6"/>
      <c r="C34" s="48"/>
      <c r="D34" s="81">
        <f>'Payment Plan Simulator'!E10</f>
        <v>46447</v>
      </c>
      <c r="E34" s="55">
        <f>'Payment Plan Simulator'!F10</f>
        <v>-2.3129646346357427E-18</v>
      </c>
      <c r="F34" s="78">
        <f>'Payment Plan Simulator'!G10</f>
        <v>0</v>
      </c>
      <c r="G34" s="53"/>
      <c r="H34" s="86">
        <f>'Payment Plan Simulator'!E45</f>
        <v>47515</v>
      </c>
      <c r="I34" s="87">
        <f>'Payment Plan Simulator'!F45</f>
        <v>1.3541666666666667E-2</v>
      </c>
      <c r="J34" s="88">
        <f>'Payment Plan Simulator'!G45</f>
        <v>25729</v>
      </c>
      <c r="K34" s="54"/>
      <c r="O34" s="17"/>
    </row>
    <row r="35" spans="2:15" ht="20.100000000000001" customHeight="1" thickBot="1" x14ac:dyDescent="0.35">
      <c r="B35" s="6"/>
      <c r="C35" s="48"/>
      <c r="D35" s="81">
        <f>'Payment Plan Simulator'!E11</f>
        <v>46478</v>
      </c>
      <c r="E35" s="55">
        <f>'Payment Plan Simulator'!F11</f>
        <v>-2.3129646346357427E-18</v>
      </c>
      <c r="F35" s="78">
        <f>'Payment Plan Simulator'!G11</f>
        <v>0</v>
      </c>
      <c r="G35" s="53"/>
      <c r="H35" s="86">
        <f>'Payment Plan Simulator'!E46</f>
        <v>47543</v>
      </c>
      <c r="I35" s="87">
        <f>'Payment Plan Simulator'!F46</f>
        <v>1.3541666666666667E-2</v>
      </c>
      <c r="J35" s="88">
        <f>'Payment Plan Simulator'!G46</f>
        <v>25729</v>
      </c>
      <c r="K35" s="54"/>
      <c r="O35" s="17"/>
    </row>
    <row r="36" spans="2:15" ht="20.100000000000001" customHeight="1" thickBot="1" x14ac:dyDescent="0.35">
      <c r="B36" s="6"/>
      <c r="C36" s="48"/>
      <c r="D36" s="81">
        <f>'Payment Plan Simulator'!E12</f>
        <v>46508</v>
      </c>
      <c r="E36" s="55">
        <f>'Payment Plan Simulator'!F12</f>
        <v>-2.3129646346357427E-18</v>
      </c>
      <c r="F36" s="78">
        <f>'Payment Plan Simulator'!G12</f>
        <v>0</v>
      </c>
      <c r="G36" s="53"/>
      <c r="H36" s="86">
        <f>'Payment Plan Simulator'!E47</f>
        <v>47574</v>
      </c>
      <c r="I36" s="87">
        <f>'Payment Plan Simulator'!F47</f>
        <v>1.3541666666666667E-2</v>
      </c>
      <c r="J36" s="88">
        <f>'Payment Plan Simulator'!G47</f>
        <v>25729</v>
      </c>
      <c r="K36" s="54"/>
      <c r="O36" s="17"/>
    </row>
    <row r="37" spans="2:15" ht="20.100000000000001" customHeight="1" thickBot="1" x14ac:dyDescent="0.35">
      <c r="B37" s="6"/>
      <c r="C37" s="48"/>
      <c r="D37" s="81">
        <f>'Payment Plan Simulator'!E13</f>
        <v>46539</v>
      </c>
      <c r="E37" s="55">
        <f>'Payment Plan Simulator'!F13</f>
        <v>0.3</v>
      </c>
      <c r="F37" s="78">
        <f>'Payment Plan Simulator'!G13</f>
        <v>570000</v>
      </c>
      <c r="G37" s="53"/>
      <c r="H37" s="86">
        <f>'Payment Plan Simulator'!E48</f>
        <v>47604</v>
      </c>
      <c r="I37" s="87">
        <f>'Payment Plan Simulator'!F48</f>
        <v>1.3541666666666667E-2</v>
      </c>
      <c r="J37" s="88">
        <f>'Payment Plan Simulator'!G48</f>
        <v>25729</v>
      </c>
      <c r="K37" s="54"/>
      <c r="O37" s="17"/>
    </row>
    <row r="38" spans="2:15" ht="20.100000000000001" customHeight="1" thickBot="1" x14ac:dyDescent="0.35">
      <c r="B38" s="6"/>
      <c r="C38" s="48"/>
      <c r="D38" s="81">
        <f>'Payment Plan Simulator'!E14</f>
        <v>46569</v>
      </c>
      <c r="E38" s="55">
        <f>'Payment Plan Simulator'!F14</f>
        <v>1.3541666666666667E-2</v>
      </c>
      <c r="F38" s="78">
        <f>'Payment Plan Simulator'!G14</f>
        <v>25729</v>
      </c>
      <c r="G38" s="53"/>
      <c r="H38" s="86">
        <f>'Payment Plan Simulator'!E49</f>
        <v>47635</v>
      </c>
      <c r="I38" s="87">
        <f>'Payment Plan Simulator'!F49</f>
        <v>1.3541666666666667E-2</v>
      </c>
      <c r="J38" s="88">
        <f>'Payment Plan Simulator'!G49</f>
        <v>25729</v>
      </c>
      <c r="K38" s="54"/>
      <c r="O38" s="17"/>
    </row>
    <row r="39" spans="2:15" ht="20.100000000000001" customHeight="1" thickBot="1" x14ac:dyDescent="0.35">
      <c r="B39" s="6"/>
      <c r="C39" s="48"/>
      <c r="D39" s="81">
        <f>'Payment Plan Simulator'!E15</f>
        <v>46600</v>
      </c>
      <c r="E39" s="55">
        <f>'Payment Plan Simulator'!F15</f>
        <v>1.3541666666666667E-2</v>
      </c>
      <c r="F39" s="78">
        <f>'Payment Plan Simulator'!G15</f>
        <v>25729</v>
      </c>
      <c r="G39" s="53"/>
      <c r="H39" s="86">
        <f>'Payment Plan Simulator'!E50</f>
        <v>47665</v>
      </c>
      <c r="I39" s="87">
        <f>'Payment Plan Simulator'!F50</f>
        <v>1.3541666666666667E-2</v>
      </c>
      <c r="J39" s="88">
        <f>'Payment Plan Simulator'!G50</f>
        <v>25729</v>
      </c>
      <c r="K39" s="54"/>
      <c r="O39" s="17"/>
    </row>
    <row r="40" spans="2:15" ht="20.100000000000001" customHeight="1" thickBot="1" x14ac:dyDescent="0.35">
      <c r="B40" s="6"/>
      <c r="C40" s="48"/>
      <c r="D40" s="81">
        <f>'Payment Plan Simulator'!E16</f>
        <v>46631</v>
      </c>
      <c r="E40" s="55">
        <f>'Payment Plan Simulator'!F16</f>
        <v>1.3541666666666667E-2</v>
      </c>
      <c r="F40" s="78">
        <f>'Payment Plan Simulator'!G16</f>
        <v>25729</v>
      </c>
      <c r="G40" s="53"/>
      <c r="H40" s="86">
        <f>'Payment Plan Simulator'!E51</f>
        <v>47696</v>
      </c>
      <c r="I40" s="87">
        <f>'Payment Plan Simulator'!F51</f>
        <v>1.3541666666666667E-2</v>
      </c>
      <c r="J40" s="88">
        <f>'Payment Plan Simulator'!G51</f>
        <v>25729</v>
      </c>
      <c r="K40" s="54"/>
      <c r="O40" s="17"/>
    </row>
    <row r="41" spans="2:15" ht="20.100000000000001" customHeight="1" thickBot="1" x14ac:dyDescent="0.35">
      <c r="B41" s="6"/>
      <c r="C41" s="48"/>
      <c r="D41" s="81">
        <f>'Payment Plan Simulator'!E17</f>
        <v>46661</v>
      </c>
      <c r="E41" s="55">
        <f>'Payment Plan Simulator'!F17</f>
        <v>1.3541666666666667E-2</v>
      </c>
      <c r="F41" s="78">
        <f>'Payment Plan Simulator'!G17</f>
        <v>25729</v>
      </c>
      <c r="G41" s="53"/>
      <c r="H41" s="86">
        <f>'Payment Plan Simulator'!E52</f>
        <v>47727</v>
      </c>
      <c r="I41" s="87">
        <f>'Payment Plan Simulator'!F52</f>
        <v>1.3541666666666667E-2</v>
      </c>
      <c r="J41" s="88">
        <f>'Payment Plan Simulator'!G52</f>
        <v>25729</v>
      </c>
      <c r="K41" s="54"/>
      <c r="O41" s="17"/>
    </row>
    <row r="42" spans="2:15" ht="20.100000000000001" customHeight="1" thickBot="1" x14ac:dyDescent="0.35">
      <c r="B42" s="6"/>
      <c r="C42" s="48"/>
      <c r="D42" s="81">
        <f>'Payment Plan Simulator'!E18</f>
        <v>46692</v>
      </c>
      <c r="E42" s="55">
        <f>'Payment Plan Simulator'!F18</f>
        <v>1.3541666666666667E-2</v>
      </c>
      <c r="F42" s="78">
        <f>'Payment Plan Simulator'!G18</f>
        <v>25729</v>
      </c>
      <c r="G42" s="53"/>
      <c r="H42" s="86">
        <f>'Payment Plan Simulator'!E53</f>
        <v>47757</v>
      </c>
      <c r="I42" s="87">
        <f>'Payment Plan Simulator'!F53</f>
        <v>1.3541666666666667E-2</v>
      </c>
      <c r="J42" s="88">
        <f>'Payment Plan Simulator'!G53</f>
        <v>25729</v>
      </c>
      <c r="K42" s="54"/>
      <c r="O42" s="17"/>
    </row>
    <row r="43" spans="2:15" ht="20.100000000000001" customHeight="1" thickBot="1" x14ac:dyDescent="0.35">
      <c r="B43" s="6"/>
      <c r="C43" s="48"/>
      <c r="D43" s="81">
        <f>'Payment Plan Simulator'!E19</f>
        <v>46722</v>
      </c>
      <c r="E43" s="55">
        <f>'Payment Plan Simulator'!F19</f>
        <v>1.3541666666666667E-2</v>
      </c>
      <c r="F43" s="78">
        <f>'Payment Plan Simulator'!G19</f>
        <v>25729</v>
      </c>
      <c r="G43" s="53"/>
      <c r="H43" s="86">
        <f>'Payment Plan Simulator'!E54</f>
        <v>47788</v>
      </c>
      <c r="I43" s="87">
        <f>'Payment Plan Simulator'!F54</f>
        <v>1.3541666666666667E-2</v>
      </c>
      <c r="J43" s="88">
        <f>'Payment Plan Simulator'!G54</f>
        <v>25729</v>
      </c>
      <c r="K43" s="54"/>
      <c r="O43" s="17"/>
    </row>
    <row r="44" spans="2:15" ht="20.100000000000001" customHeight="1" thickBot="1" x14ac:dyDescent="0.35">
      <c r="B44" s="6"/>
      <c r="C44" s="48"/>
      <c r="D44" s="81">
        <f>'Payment Plan Simulator'!E20</f>
        <v>46753</v>
      </c>
      <c r="E44" s="55">
        <f>'Payment Plan Simulator'!F20</f>
        <v>1.3541666666666667E-2</v>
      </c>
      <c r="F44" s="78">
        <f>'Payment Plan Simulator'!G20</f>
        <v>25729</v>
      </c>
      <c r="G44" s="53"/>
      <c r="H44" s="86">
        <f>'Payment Plan Simulator'!E55</f>
        <v>47818</v>
      </c>
      <c r="I44" s="87">
        <f>'Payment Plan Simulator'!F55</f>
        <v>1.3541666666666667E-2</v>
      </c>
      <c r="J44" s="88">
        <f>'Payment Plan Simulator'!G55</f>
        <v>25729</v>
      </c>
      <c r="K44" s="54"/>
      <c r="O44" s="17"/>
    </row>
    <row r="45" spans="2:15" ht="20.100000000000001" customHeight="1" thickBot="1" x14ac:dyDescent="0.3">
      <c r="B45" s="6"/>
      <c r="C45" s="48"/>
      <c r="D45" s="81">
        <f>'Payment Plan Simulator'!E21</f>
        <v>46784</v>
      </c>
      <c r="E45" s="55">
        <f>'Payment Plan Simulator'!F21</f>
        <v>1.3541666666666667E-2</v>
      </c>
      <c r="F45" s="78">
        <f>'Payment Plan Simulator'!G21</f>
        <v>25729</v>
      </c>
      <c r="G45" s="53"/>
      <c r="H45" s="86">
        <f>'Payment Plan Simulator'!E56</f>
        <v>47849</v>
      </c>
      <c r="I45" s="87">
        <f>'Payment Plan Simulator'!F56</f>
        <v>1.3541666666666667E-2</v>
      </c>
      <c r="J45" s="88">
        <f>'Payment Plan Simulator'!G56</f>
        <v>25729</v>
      </c>
      <c r="K45" s="56" t="s">
        <v>9</v>
      </c>
      <c r="O45" s="17"/>
    </row>
    <row r="46" spans="2:15" ht="20.100000000000001" customHeight="1" thickBot="1" x14ac:dyDescent="0.3">
      <c r="B46" s="6"/>
      <c r="C46" s="48"/>
      <c r="D46" s="81">
        <f>'Payment Plan Simulator'!E22</f>
        <v>46813</v>
      </c>
      <c r="E46" s="55">
        <f>'Payment Plan Simulator'!F22</f>
        <v>1.3541666666666667E-2</v>
      </c>
      <c r="F46" s="78">
        <f>'Payment Plan Simulator'!G22</f>
        <v>25729</v>
      </c>
      <c r="G46" s="53"/>
      <c r="H46" s="86">
        <f>'Payment Plan Simulator'!E57</f>
        <v>47880</v>
      </c>
      <c r="I46" s="87">
        <f>'Payment Plan Simulator'!F57</f>
        <v>1.3541666666666667E-2</v>
      </c>
      <c r="J46" s="88">
        <f>'Payment Plan Simulator'!G57</f>
        <v>25729</v>
      </c>
      <c r="K46" s="56"/>
      <c r="O46" s="17"/>
    </row>
    <row r="47" spans="2:15" ht="20.100000000000001" customHeight="1" thickBot="1" x14ac:dyDescent="0.3">
      <c r="B47" s="6"/>
      <c r="C47" s="48"/>
      <c r="D47" s="81">
        <f>'Payment Plan Simulator'!E23</f>
        <v>46844</v>
      </c>
      <c r="E47" s="55">
        <f>'Payment Plan Simulator'!F23</f>
        <v>1.3541666666666667E-2</v>
      </c>
      <c r="F47" s="78">
        <f>'Payment Plan Simulator'!G23</f>
        <v>25729</v>
      </c>
      <c r="G47" s="53"/>
      <c r="H47" s="86">
        <f>'Payment Plan Simulator'!E58</f>
        <v>47908</v>
      </c>
      <c r="I47" s="87">
        <f>'Payment Plan Simulator'!F58</f>
        <v>1.3541666666666667E-2</v>
      </c>
      <c r="J47" s="88">
        <f>'Payment Plan Simulator'!G58</f>
        <v>25729</v>
      </c>
      <c r="K47" s="53"/>
      <c r="O47" s="17"/>
    </row>
    <row r="48" spans="2:15" ht="20.100000000000001" customHeight="1" thickBot="1" x14ac:dyDescent="0.3">
      <c r="B48" s="6"/>
      <c r="C48" s="48"/>
      <c r="D48" s="81">
        <f>'Payment Plan Simulator'!E24</f>
        <v>46874</v>
      </c>
      <c r="E48" s="55">
        <f>'Payment Plan Simulator'!F24</f>
        <v>1.3541666666666667E-2</v>
      </c>
      <c r="F48" s="78">
        <f>'Payment Plan Simulator'!G24</f>
        <v>25729</v>
      </c>
      <c r="G48" s="53"/>
      <c r="H48" s="86">
        <f>'Payment Plan Simulator'!E59</f>
        <v>47939</v>
      </c>
      <c r="I48" s="87">
        <f>'Payment Plan Simulator'!F59</f>
        <v>1.3541666666666667E-2</v>
      </c>
      <c r="J48" s="88">
        <f>'Payment Plan Simulator'!G59</f>
        <v>25729</v>
      </c>
      <c r="K48" s="53"/>
      <c r="O48" s="17"/>
    </row>
    <row r="49" spans="2:15" ht="20.100000000000001" customHeight="1" thickBot="1" x14ac:dyDescent="0.3">
      <c r="B49" s="6"/>
      <c r="C49" s="48"/>
      <c r="D49" s="81">
        <f>'Payment Plan Simulator'!E25</f>
        <v>46905</v>
      </c>
      <c r="E49" s="55">
        <f>'Payment Plan Simulator'!F25</f>
        <v>1.3541666666666667E-2</v>
      </c>
      <c r="F49" s="78">
        <f>'Payment Plan Simulator'!G25</f>
        <v>25729</v>
      </c>
      <c r="G49" s="53"/>
      <c r="H49" s="86">
        <f>'Payment Plan Simulator'!E60</f>
        <v>47969</v>
      </c>
      <c r="I49" s="87">
        <f>'Payment Plan Simulator'!F60</f>
        <v>1.3541666666666667E-2</v>
      </c>
      <c r="J49" s="88">
        <f>'Payment Plan Simulator'!G60</f>
        <v>25729</v>
      </c>
      <c r="K49" s="53"/>
      <c r="O49" s="17"/>
    </row>
    <row r="50" spans="2:15" ht="20.100000000000001" customHeight="1" thickBot="1" x14ac:dyDescent="0.3">
      <c r="B50" s="6"/>
      <c r="C50" s="48"/>
      <c r="D50" s="81">
        <f>'Payment Plan Simulator'!E26</f>
        <v>46935</v>
      </c>
      <c r="E50" s="55">
        <f>'Payment Plan Simulator'!F26</f>
        <v>1.3541666666666667E-2</v>
      </c>
      <c r="F50" s="78">
        <f>'Payment Plan Simulator'!G26</f>
        <v>25729</v>
      </c>
      <c r="G50" s="53"/>
      <c r="H50" s="86">
        <f>'Payment Plan Simulator'!E61</f>
        <v>48000</v>
      </c>
      <c r="I50" s="87">
        <f>'Payment Plan Simulator'!F61</f>
        <v>1.3541666666666667E-2</v>
      </c>
      <c r="J50" s="88">
        <f>'Payment Plan Simulator'!G61</f>
        <v>25729</v>
      </c>
      <c r="K50" s="53"/>
      <c r="O50" s="17"/>
    </row>
    <row r="51" spans="2:15" ht="20.100000000000001" customHeight="1" x14ac:dyDescent="0.25">
      <c r="B51" s="6"/>
      <c r="C51" s="48"/>
      <c r="D51" s="81">
        <f>'Payment Plan Simulator'!E27</f>
        <v>46966</v>
      </c>
      <c r="E51" s="55">
        <f>'Payment Plan Simulator'!F27</f>
        <v>1.3541666666666667E-2</v>
      </c>
      <c r="F51" s="78">
        <f>'Payment Plan Simulator'!G27</f>
        <v>25729</v>
      </c>
      <c r="G51" s="53"/>
      <c r="H51"/>
      <c r="I51"/>
      <c r="J51"/>
      <c r="K51" s="53"/>
      <c r="O51" s="17"/>
    </row>
    <row r="52" spans="2:15" ht="20.100000000000001" customHeight="1" x14ac:dyDescent="0.25">
      <c r="B52" s="6"/>
      <c r="C52" s="48"/>
      <c r="D52" s="81">
        <f>'Payment Plan Simulator'!E28</f>
        <v>46997</v>
      </c>
      <c r="E52" s="55">
        <f>'Payment Plan Simulator'!F28</f>
        <v>1.3541666666666667E-2</v>
      </c>
      <c r="F52" s="78">
        <f>'Payment Plan Simulator'!G28</f>
        <v>25729</v>
      </c>
      <c r="G52" s="53"/>
      <c r="H52"/>
      <c r="I52"/>
      <c r="J52"/>
      <c r="K52" s="53"/>
      <c r="O52" s="17"/>
    </row>
    <row r="53" spans="2:15" ht="20.100000000000001" customHeight="1" x14ac:dyDescent="0.25">
      <c r="B53" s="6"/>
      <c r="C53" s="48"/>
      <c r="D53" s="81">
        <f>'Payment Plan Simulator'!E29</f>
        <v>47027</v>
      </c>
      <c r="E53" s="55">
        <f>'Payment Plan Simulator'!F29</f>
        <v>1.3541666666666667E-2</v>
      </c>
      <c r="F53" s="78">
        <f>'Payment Plan Simulator'!G29</f>
        <v>25729</v>
      </c>
      <c r="G53" s="53"/>
      <c r="H53"/>
      <c r="I53"/>
      <c r="J53"/>
      <c r="K53" s="53"/>
      <c r="O53" s="17"/>
    </row>
    <row r="54" spans="2:15" ht="20.100000000000001" customHeight="1" x14ac:dyDescent="0.25">
      <c r="B54" s="6"/>
      <c r="C54" s="48"/>
      <c r="D54" s="81">
        <f>'Payment Plan Simulator'!E30</f>
        <v>47058</v>
      </c>
      <c r="E54" s="55">
        <f>'Payment Plan Simulator'!F30</f>
        <v>1.3541666666666667E-2</v>
      </c>
      <c r="F54" s="78">
        <f>'Payment Plan Simulator'!G30</f>
        <v>25729</v>
      </c>
      <c r="G54" s="53"/>
      <c r="H54"/>
      <c r="I54"/>
      <c r="J54"/>
      <c r="K54" s="53"/>
      <c r="O54" s="17"/>
    </row>
    <row r="55" spans="2:15" ht="20.100000000000001" customHeight="1" x14ac:dyDescent="0.25">
      <c r="B55" s="6"/>
      <c r="C55" s="48"/>
      <c r="D55" s="81">
        <f>'Payment Plan Simulator'!E31</f>
        <v>47088</v>
      </c>
      <c r="E55" s="55">
        <f>'Payment Plan Simulator'!F31</f>
        <v>1.3541666666666667E-2</v>
      </c>
      <c r="F55" s="78">
        <f>'Payment Plan Simulator'!G31</f>
        <v>25729</v>
      </c>
      <c r="G55" s="53"/>
      <c r="H55"/>
      <c r="I55"/>
      <c r="J55"/>
      <c r="K55" s="53"/>
      <c r="O55" s="17"/>
    </row>
    <row r="56" spans="2:15" ht="20.100000000000001" customHeight="1" x14ac:dyDescent="0.25">
      <c r="B56" s="6"/>
      <c r="C56" s="48"/>
      <c r="D56" s="81">
        <f>'Payment Plan Simulator'!E32</f>
        <v>47119</v>
      </c>
      <c r="E56" s="55">
        <f>'Payment Plan Simulator'!F32</f>
        <v>1.3541666666666667E-2</v>
      </c>
      <c r="F56" s="78">
        <f>'Payment Plan Simulator'!G32</f>
        <v>25729</v>
      </c>
      <c r="G56" s="53"/>
      <c r="H56"/>
      <c r="I56"/>
      <c r="J56"/>
      <c r="K56" s="53"/>
      <c r="O56" s="17"/>
    </row>
    <row r="57" spans="2:15" ht="20.100000000000001" customHeight="1" x14ac:dyDescent="0.25">
      <c r="B57" s="6"/>
      <c r="C57" s="48"/>
      <c r="D57" s="81">
        <f>'Payment Plan Simulator'!E33</f>
        <v>47150</v>
      </c>
      <c r="E57" s="55">
        <f>'Payment Plan Simulator'!F33</f>
        <v>1.3541666666666667E-2</v>
      </c>
      <c r="F57" s="78">
        <f>'Payment Plan Simulator'!G33</f>
        <v>25729</v>
      </c>
      <c r="G57" s="53"/>
      <c r="H57"/>
      <c r="I57"/>
      <c r="J57"/>
      <c r="K57" s="53"/>
      <c r="O57" s="17"/>
    </row>
    <row r="58" spans="2:15" ht="20.100000000000001" customHeight="1" x14ac:dyDescent="0.25">
      <c r="B58" s="6"/>
      <c r="C58" s="48"/>
      <c r="D58" s="81">
        <f>'Payment Plan Simulator'!E34</f>
        <v>47178</v>
      </c>
      <c r="E58" s="55">
        <f>'Payment Plan Simulator'!F34</f>
        <v>1.3541666666666667E-2</v>
      </c>
      <c r="F58" s="78">
        <f>'Payment Plan Simulator'!G34</f>
        <v>25729</v>
      </c>
      <c r="G58" s="53"/>
      <c r="H58" s="67" t="str">
        <f>'Payment Plan Simulator'!E69</f>
        <v/>
      </c>
      <c r="I58" s="55" t="str">
        <f>'Payment Plan Simulator'!F69</f>
        <v/>
      </c>
      <c r="J58" s="68" t="str">
        <f>'Payment Plan Simulator'!G69</f>
        <v/>
      </c>
      <c r="K58" s="53"/>
      <c r="O58" s="33"/>
    </row>
    <row r="59" spans="2:15" ht="20.100000000000001" customHeight="1" x14ac:dyDescent="0.25">
      <c r="B59" s="6"/>
      <c r="C59" s="48"/>
      <c r="D59" s="81">
        <f>'Payment Plan Simulator'!E35</f>
        <v>47209</v>
      </c>
      <c r="E59" s="55">
        <f>'Payment Plan Simulator'!F35</f>
        <v>1.3541666666666667E-2</v>
      </c>
      <c r="F59" s="78">
        <f>'Payment Plan Simulator'!G35</f>
        <v>25729</v>
      </c>
      <c r="G59" s="53"/>
      <c r="H59" s="58" t="str">
        <f>'Payment Plan Simulator'!E70</f>
        <v/>
      </c>
      <c r="I59" s="55" t="str">
        <f>'Payment Plan Simulator'!F70</f>
        <v/>
      </c>
      <c r="J59" s="60" t="str">
        <f>'Payment Plan Simulator'!G70</f>
        <v/>
      </c>
      <c r="K59" s="53"/>
      <c r="O59" s="17"/>
    </row>
    <row r="60" spans="2:15" ht="20.100000000000001" customHeight="1" x14ac:dyDescent="0.25">
      <c r="B60" s="6"/>
      <c r="C60" s="48"/>
      <c r="D60" s="81">
        <f>'Payment Plan Simulator'!E36</f>
        <v>47239</v>
      </c>
      <c r="E60" s="55">
        <f>'Payment Plan Simulator'!F36</f>
        <v>1.3541666666666667E-2</v>
      </c>
      <c r="F60" s="78">
        <f>'Payment Plan Simulator'!G36</f>
        <v>25729</v>
      </c>
      <c r="G60" s="53"/>
      <c r="H60" s="58" t="str">
        <f>'Payment Plan Simulator'!E71</f>
        <v/>
      </c>
      <c r="I60" s="55" t="str">
        <f>'Payment Plan Simulator'!F71</f>
        <v/>
      </c>
      <c r="J60" s="60" t="str">
        <f>'Payment Plan Simulator'!G71</f>
        <v/>
      </c>
      <c r="K60" s="53"/>
      <c r="O60" s="17"/>
    </row>
    <row r="61" spans="2:15" ht="20.100000000000001" customHeight="1" x14ac:dyDescent="0.25">
      <c r="B61" s="6"/>
      <c r="C61" s="48"/>
      <c r="D61" s="81">
        <f>'Payment Plan Simulator'!E37</f>
        <v>47270</v>
      </c>
      <c r="E61" s="55">
        <f>'Payment Plan Simulator'!F37</f>
        <v>1.3541666666666667E-2</v>
      </c>
      <c r="F61" s="78">
        <f>'Payment Plan Simulator'!G37</f>
        <v>25729</v>
      </c>
      <c r="G61" s="53"/>
      <c r="H61" s="58" t="str">
        <f>'Payment Plan Simulator'!E72</f>
        <v/>
      </c>
      <c r="I61" s="55" t="str">
        <f>'Payment Plan Simulator'!F72</f>
        <v/>
      </c>
      <c r="J61" s="60" t="str">
        <f>'Payment Plan Simulator'!G72</f>
        <v/>
      </c>
      <c r="K61" s="53"/>
      <c r="O61" s="17"/>
    </row>
    <row r="62" spans="2:15" ht="20.100000000000001" customHeight="1" x14ac:dyDescent="0.25">
      <c r="B62" s="6"/>
      <c r="C62" s="48"/>
      <c r="D62" s="81">
        <f>'Payment Plan Simulator'!E38</f>
        <v>47300</v>
      </c>
      <c r="E62" s="55">
        <f>'Payment Plan Simulator'!F38</f>
        <v>1.3541666666666667E-2</v>
      </c>
      <c r="F62" s="78">
        <f>'Payment Plan Simulator'!G38</f>
        <v>25729</v>
      </c>
      <c r="G62" s="53"/>
      <c r="H62" s="58" t="str">
        <f>'Payment Plan Simulator'!E73</f>
        <v/>
      </c>
      <c r="I62" s="55" t="str">
        <f>'Payment Plan Simulator'!F73</f>
        <v/>
      </c>
      <c r="J62" s="60" t="str">
        <f>'Payment Plan Simulator'!G73</f>
        <v/>
      </c>
      <c r="K62" s="53"/>
      <c r="O62" s="17"/>
    </row>
    <row r="63" spans="2:15" ht="20.100000000000001" customHeight="1" x14ac:dyDescent="0.25">
      <c r="B63" s="6"/>
      <c r="C63" s="48"/>
      <c r="D63" s="81">
        <f>'Payment Plan Simulator'!E39</f>
        <v>47331</v>
      </c>
      <c r="E63" s="55">
        <f>'Payment Plan Simulator'!F39</f>
        <v>1.3541666666666667E-2</v>
      </c>
      <c r="F63" s="78">
        <f>'Payment Plan Simulator'!G39</f>
        <v>25729</v>
      </c>
      <c r="G63" s="53"/>
      <c r="H63" s="58" t="str">
        <f>'Payment Plan Simulator'!E74</f>
        <v/>
      </c>
      <c r="I63" s="55" t="str">
        <f>'Payment Plan Simulator'!F74</f>
        <v/>
      </c>
      <c r="J63" s="60" t="str">
        <f>'Payment Plan Simulator'!G74</f>
        <v/>
      </c>
      <c r="K63" s="53"/>
      <c r="O63" s="17"/>
    </row>
    <row r="64" spans="2:15" ht="20.100000000000001" customHeight="1" thickBot="1" x14ac:dyDescent="0.3">
      <c r="B64" s="6"/>
      <c r="C64" s="48"/>
      <c r="D64" s="82">
        <f>'Payment Plan Simulator'!E40</f>
        <v>47362</v>
      </c>
      <c r="E64" s="57">
        <f>'Payment Plan Simulator'!F40</f>
        <v>1.3541666666666667E-2</v>
      </c>
      <c r="F64" s="79">
        <f>'Payment Plan Simulator'!G40</f>
        <v>25729</v>
      </c>
      <c r="G64" s="53"/>
      <c r="H64" s="58" t="str">
        <f>'Payment Plan Simulator'!E75</f>
        <v/>
      </c>
      <c r="I64" s="55" t="str">
        <f>'Payment Plan Simulator'!F75</f>
        <v/>
      </c>
      <c r="J64" s="60" t="str">
        <f>'Payment Plan Simulator'!G75</f>
        <v/>
      </c>
      <c r="K64" s="53"/>
      <c r="O64" s="17"/>
    </row>
    <row r="65" spans="2:15" ht="20.100000000000001" customHeight="1" x14ac:dyDescent="0.25">
      <c r="B65" s="6"/>
      <c r="C65" s="48"/>
      <c r="D65" s="48"/>
      <c r="E65" s="48"/>
      <c r="F65" s="48"/>
      <c r="G65" s="53"/>
      <c r="H65" s="58"/>
      <c r="I65" s="59"/>
      <c r="J65" s="60"/>
      <c r="K65" s="53"/>
      <c r="O65" s="17"/>
    </row>
    <row r="66" spans="2:15" ht="20.100000000000001" customHeight="1" x14ac:dyDescent="0.25">
      <c r="B66" s="6"/>
      <c r="C66" s="48"/>
      <c r="D66" s="48"/>
      <c r="E66" s="48"/>
      <c r="F66" s="48"/>
      <c r="G66" s="53"/>
      <c r="H66" s="58"/>
      <c r="I66" s="59"/>
      <c r="J66" s="60"/>
      <c r="K66" s="53"/>
      <c r="O66" s="17"/>
    </row>
    <row r="67" spans="2:15" ht="20.100000000000001" customHeight="1" x14ac:dyDescent="0.25">
      <c r="B67" s="6"/>
      <c r="C67" s="48"/>
      <c r="D67" s="48"/>
      <c r="E67" s="48"/>
      <c r="F67" s="48"/>
      <c r="G67" s="53"/>
      <c r="H67" s="58"/>
      <c r="I67" s="59"/>
      <c r="J67" s="60"/>
      <c r="K67" s="53"/>
      <c r="O67" s="17"/>
    </row>
    <row r="68" spans="2:15" x14ac:dyDescent="0.2">
      <c r="B68" s="6"/>
      <c r="C68" s="1"/>
      <c r="G68" s="10"/>
      <c r="H68" s="47"/>
      <c r="I68" s="35"/>
      <c r="J68" s="13"/>
      <c r="K68" s="10"/>
      <c r="O68" s="17"/>
    </row>
    <row r="69" spans="2:15" x14ac:dyDescent="0.2">
      <c r="B69" s="6"/>
      <c r="C69" s="1"/>
      <c r="G69" s="10"/>
      <c r="H69" s="47"/>
      <c r="I69" s="35"/>
      <c r="J69" s="13"/>
      <c r="K69" s="10"/>
      <c r="O69" s="17"/>
    </row>
    <row r="70" spans="2:15" x14ac:dyDescent="0.2">
      <c r="B70" s="6"/>
      <c r="C70" s="1"/>
      <c r="G70" s="10"/>
      <c r="H70" s="47"/>
      <c r="I70" s="35"/>
      <c r="J70" s="13"/>
      <c r="K70" s="10"/>
      <c r="O70" s="17"/>
    </row>
    <row r="71" spans="2:15" x14ac:dyDescent="0.2">
      <c r="B71" s="6"/>
      <c r="C71" s="1"/>
      <c r="G71" s="10"/>
      <c r="H71" s="47"/>
      <c r="I71" s="35"/>
      <c r="J71" s="13"/>
      <c r="K71" s="10"/>
      <c r="O71" s="17"/>
    </row>
    <row r="72" spans="2:15" x14ac:dyDescent="0.2">
      <c r="B72" s="6"/>
      <c r="C72" s="1"/>
      <c r="F72" s="10"/>
      <c r="J72" s="10"/>
      <c r="K72" s="10"/>
      <c r="O72" s="17"/>
    </row>
    <row r="73" spans="2:15" x14ac:dyDescent="0.2">
      <c r="B73" s="6"/>
      <c r="C73" s="1"/>
      <c r="F73" s="10"/>
      <c r="J73" s="10"/>
      <c r="K73" s="10"/>
      <c r="O73" s="17"/>
    </row>
    <row r="74" spans="2:15" x14ac:dyDescent="0.2">
      <c r="B74" s="6"/>
      <c r="C74" s="1"/>
      <c r="F74" s="10"/>
      <c r="J74" s="10"/>
      <c r="K74" s="10"/>
      <c r="O74" s="17"/>
    </row>
    <row r="75" spans="2:15" x14ac:dyDescent="0.2">
      <c r="B75" s="6"/>
      <c r="C75" s="1"/>
      <c r="F75" s="10"/>
      <c r="J75" s="10"/>
      <c r="K75" s="10"/>
      <c r="O75" s="17"/>
    </row>
    <row r="76" spans="2:15" x14ac:dyDescent="0.2">
      <c r="B76" s="6"/>
      <c r="C76" s="1"/>
      <c r="F76" s="10"/>
      <c r="G76" s="10"/>
      <c r="H76" s="10"/>
      <c r="I76" s="10"/>
      <c r="J76" s="10"/>
      <c r="K76" s="10"/>
      <c r="O76" s="17"/>
    </row>
    <row r="77" spans="2:15" x14ac:dyDescent="0.2">
      <c r="B77" s="6"/>
      <c r="C77" s="1"/>
      <c r="F77" s="10"/>
      <c r="G77" s="10"/>
      <c r="H77" s="10"/>
      <c r="I77" s="10"/>
      <c r="J77" s="10"/>
      <c r="K77" s="10"/>
      <c r="O77" s="17"/>
    </row>
    <row r="78" spans="2:15" x14ac:dyDescent="0.2">
      <c r="B78" s="6"/>
      <c r="C78" s="1"/>
      <c r="F78" s="10"/>
      <c r="G78" s="10"/>
      <c r="H78" s="10"/>
      <c r="I78" s="10"/>
      <c r="J78" s="10"/>
      <c r="K78" s="10"/>
      <c r="O78" s="17"/>
    </row>
    <row r="79" spans="2:15" x14ac:dyDescent="0.2">
      <c r="B79" s="6"/>
      <c r="C79" s="1"/>
      <c r="F79" s="10"/>
      <c r="G79" s="10"/>
      <c r="H79" s="10"/>
      <c r="I79" s="10"/>
      <c r="J79" s="10"/>
      <c r="K79" s="10"/>
      <c r="O79" s="17"/>
    </row>
    <row r="80" spans="2:15" x14ac:dyDescent="0.2">
      <c r="B80" s="6"/>
      <c r="C80" s="1"/>
      <c r="F80" s="10"/>
      <c r="G80" s="10"/>
      <c r="H80" s="10"/>
      <c r="I80" s="10"/>
      <c r="J80" s="10"/>
      <c r="K80" s="10"/>
      <c r="O80" s="17"/>
    </row>
    <row r="81" spans="2:15" x14ac:dyDescent="0.2">
      <c r="B81" s="6"/>
      <c r="C81" s="1"/>
      <c r="F81" s="10"/>
      <c r="G81" s="10"/>
      <c r="H81" s="10"/>
      <c r="I81" s="10"/>
      <c r="J81" s="10"/>
      <c r="K81" s="10"/>
      <c r="O81" s="17"/>
    </row>
    <row r="82" spans="2:15" x14ac:dyDescent="0.2">
      <c r="B82" s="6"/>
      <c r="C82" s="1"/>
      <c r="F82" s="10"/>
      <c r="G82" s="10"/>
      <c r="H82" s="10"/>
      <c r="I82" s="10"/>
      <c r="J82" s="10"/>
      <c r="K82" s="10"/>
      <c r="O82" s="17"/>
    </row>
    <row r="83" spans="2:15" x14ac:dyDescent="0.2">
      <c r="B83" s="6"/>
      <c r="C83" s="1"/>
      <c r="F83" s="10"/>
      <c r="G83" s="10"/>
      <c r="H83" s="10"/>
      <c r="I83" s="10"/>
      <c r="J83" s="10"/>
      <c r="K83" s="10"/>
      <c r="O83" s="17"/>
    </row>
    <row r="84" spans="2:15" x14ac:dyDescent="0.2">
      <c r="B84" s="6"/>
      <c r="C84" s="1"/>
      <c r="F84" s="10"/>
      <c r="G84" s="10"/>
      <c r="H84" s="10"/>
      <c r="I84" s="10"/>
      <c r="J84" s="10"/>
      <c r="K84" s="10"/>
      <c r="O84" s="17"/>
    </row>
    <row r="85" spans="2:15" x14ac:dyDescent="0.2">
      <c r="B85" s="6"/>
      <c r="C85" s="1"/>
      <c r="F85" s="10"/>
      <c r="G85" s="10"/>
      <c r="H85" s="10"/>
      <c r="I85" s="10"/>
      <c r="J85" s="10"/>
      <c r="K85" s="10"/>
      <c r="O85" s="17"/>
    </row>
    <row r="86" spans="2:15" x14ac:dyDescent="0.2">
      <c r="B86" s="6"/>
      <c r="C86" s="1"/>
      <c r="F86" s="10"/>
      <c r="G86" s="10"/>
      <c r="H86" s="10"/>
      <c r="I86" s="10"/>
      <c r="J86" s="10"/>
      <c r="K86" s="10"/>
      <c r="O86" s="17"/>
    </row>
    <row r="87" spans="2:15" x14ac:dyDescent="0.2">
      <c r="B87" s="6"/>
      <c r="C87" s="1"/>
      <c r="F87" s="10"/>
      <c r="G87" s="10"/>
      <c r="H87" s="10"/>
      <c r="I87" s="10"/>
      <c r="J87" s="10"/>
      <c r="K87" s="10"/>
      <c r="O87" s="17"/>
    </row>
    <row r="88" spans="2:15" x14ac:dyDescent="0.2">
      <c r="B88" s="6"/>
      <c r="C88" s="1"/>
      <c r="F88" s="10"/>
      <c r="G88" s="10"/>
      <c r="H88" s="10"/>
      <c r="I88" s="10"/>
      <c r="J88" s="10"/>
      <c r="K88" s="10"/>
      <c r="O88" s="17"/>
    </row>
    <row r="89" spans="2:15" x14ac:dyDescent="0.2">
      <c r="B89" s="6"/>
      <c r="C89" s="1"/>
      <c r="F89" s="10"/>
      <c r="G89" s="10"/>
      <c r="H89" s="10"/>
      <c r="I89" s="10"/>
      <c r="J89" s="10"/>
      <c r="K89" s="10"/>
      <c r="O89" s="17"/>
    </row>
    <row r="90" spans="2:15" x14ac:dyDescent="0.2">
      <c r="B90" s="6"/>
      <c r="C90" s="1"/>
      <c r="F90" s="10"/>
      <c r="G90" s="10"/>
      <c r="H90" s="10"/>
      <c r="I90" s="10"/>
      <c r="J90" s="10"/>
      <c r="K90" s="10"/>
      <c r="O90" s="17"/>
    </row>
    <row r="91" spans="2:15" x14ac:dyDescent="0.2">
      <c r="B91" s="6"/>
      <c r="C91" s="1"/>
      <c r="F91" s="10"/>
      <c r="G91" s="10"/>
      <c r="H91" s="10"/>
      <c r="I91" s="10"/>
      <c r="J91" s="10"/>
      <c r="K91" s="10"/>
      <c r="O91" s="17"/>
    </row>
    <row r="92" spans="2:15" x14ac:dyDescent="0.2">
      <c r="B92" s="6"/>
      <c r="C92" s="1"/>
      <c r="F92" s="10"/>
      <c r="G92" s="10"/>
      <c r="H92" s="10"/>
      <c r="I92" s="10"/>
      <c r="J92" s="10"/>
      <c r="K92" s="10"/>
      <c r="O92" s="17"/>
    </row>
    <row r="93" spans="2:15" x14ac:dyDescent="0.2">
      <c r="B93" s="6"/>
      <c r="C93" s="1"/>
      <c r="F93" s="10"/>
      <c r="G93" s="10"/>
      <c r="H93" s="10"/>
      <c r="I93" s="10"/>
      <c r="J93" s="10"/>
      <c r="K93" s="10"/>
      <c r="O93" s="17"/>
    </row>
    <row r="94" spans="2:15" x14ac:dyDescent="0.2">
      <c r="B94" s="6"/>
      <c r="C94" s="1"/>
      <c r="F94" s="10"/>
      <c r="G94" s="10"/>
      <c r="H94" s="10"/>
      <c r="I94" s="10"/>
      <c r="J94" s="10"/>
      <c r="K94" s="10"/>
      <c r="O94" s="17"/>
    </row>
    <row r="95" spans="2:15" x14ac:dyDescent="0.2">
      <c r="B95" s="6"/>
      <c r="C95" s="1"/>
      <c r="F95" s="10"/>
      <c r="G95" s="10"/>
      <c r="H95" s="10"/>
      <c r="I95" s="10"/>
      <c r="J95" s="10"/>
      <c r="K95" s="10"/>
      <c r="O95" s="17"/>
    </row>
    <row r="96" spans="2:15" x14ac:dyDescent="0.2">
      <c r="B96" s="6"/>
      <c r="C96" s="1"/>
      <c r="F96" s="10"/>
      <c r="G96" s="10"/>
      <c r="H96" s="10"/>
      <c r="I96" s="10"/>
      <c r="J96" s="10"/>
      <c r="K96" s="10"/>
      <c r="O96" s="17"/>
    </row>
    <row r="97" spans="2:15" x14ac:dyDescent="0.2">
      <c r="B97" s="6"/>
      <c r="C97" s="1"/>
      <c r="F97" s="10"/>
      <c r="G97" s="10"/>
      <c r="H97" s="10"/>
      <c r="I97" s="10"/>
      <c r="J97" s="10"/>
      <c r="K97" s="10"/>
      <c r="O97" s="17"/>
    </row>
    <row r="98" spans="2:15" x14ac:dyDescent="0.2">
      <c r="B98" s="6"/>
      <c r="C98" s="1"/>
      <c r="F98" s="10"/>
      <c r="G98" s="10"/>
      <c r="H98" s="10"/>
      <c r="I98" s="10"/>
      <c r="J98" s="10"/>
      <c r="K98" s="10"/>
      <c r="O98" s="17"/>
    </row>
    <row r="99" spans="2:15" x14ac:dyDescent="0.2">
      <c r="B99" s="6"/>
      <c r="C99" s="1"/>
      <c r="F99" s="10"/>
      <c r="G99" s="10"/>
      <c r="H99" s="10"/>
      <c r="I99" s="10"/>
      <c r="J99" s="10"/>
      <c r="K99" s="10"/>
      <c r="O99" s="17"/>
    </row>
    <row r="100" spans="2:15" x14ac:dyDescent="0.2">
      <c r="B100" s="6"/>
      <c r="C100" s="1"/>
      <c r="F100" s="10"/>
      <c r="G100" s="10"/>
      <c r="H100" s="10"/>
      <c r="I100" s="10"/>
      <c r="J100" s="10"/>
      <c r="K100" s="10"/>
      <c r="O100" s="17"/>
    </row>
    <row r="101" spans="2:15" x14ac:dyDescent="0.2">
      <c r="B101" s="6"/>
      <c r="C101" s="1"/>
      <c r="F101" s="10"/>
      <c r="G101" s="10"/>
      <c r="H101" s="10"/>
      <c r="I101" s="10"/>
      <c r="J101" s="10"/>
      <c r="K101" s="10"/>
      <c r="O101" s="17"/>
    </row>
    <row r="102" spans="2:15" x14ac:dyDescent="0.2">
      <c r="B102" s="6"/>
      <c r="C102" s="1"/>
      <c r="F102" s="10"/>
      <c r="G102" s="10"/>
      <c r="H102" s="10"/>
      <c r="I102" s="10"/>
      <c r="J102" s="10"/>
      <c r="K102" s="10"/>
      <c r="O102" s="17"/>
    </row>
    <row r="103" spans="2:15" x14ac:dyDescent="0.2">
      <c r="B103" s="6"/>
      <c r="C103" s="1"/>
      <c r="O103" s="17"/>
    </row>
    <row r="104" spans="2:15" x14ac:dyDescent="0.2">
      <c r="B104" s="6"/>
      <c r="C104" s="1"/>
      <c r="O104" s="17"/>
    </row>
    <row r="105" spans="2:15" x14ac:dyDescent="0.2">
      <c r="B105" s="6"/>
      <c r="C105" s="1"/>
      <c r="O105" s="17"/>
    </row>
    <row r="106" spans="2:15" x14ac:dyDescent="0.2">
      <c r="B106" s="6"/>
      <c r="C106" s="1"/>
      <c r="O106" s="17"/>
    </row>
    <row r="107" spans="2:15" x14ac:dyDescent="0.2">
      <c r="B107" s="6"/>
      <c r="C107" s="47"/>
      <c r="D107" s="35"/>
      <c r="E107" s="13"/>
      <c r="O107" s="17"/>
    </row>
    <row r="108" spans="2:15" x14ac:dyDescent="0.2">
      <c r="B108" s="6"/>
      <c r="C108" s="47"/>
      <c r="D108" s="35"/>
      <c r="E108" s="13"/>
      <c r="O108" s="17"/>
    </row>
    <row r="109" spans="2:15" x14ac:dyDescent="0.2">
      <c r="B109" s="6"/>
      <c r="C109" s="47"/>
      <c r="D109" s="35"/>
      <c r="E109" s="13"/>
      <c r="O109" s="17"/>
    </row>
    <row r="110" spans="2:15" x14ac:dyDescent="0.2">
      <c r="B110" s="6"/>
      <c r="C110" s="47"/>
      <c r="D110" s="35"/>
      <c r="E110" s="13"/>
      <c r="O110" s="17"/>
    </row>
    <row r="111" spans="2:15" x14ac:dyDescent="0.2">
      <c r="B111" s="6"/>
      <c r="C111" s="47"/>
      <c r="D111" s="35"/>
      <c r="E111" s="13"/>
      <c r="O111" s="17"/>
    </row>
    <row r="112" spans="2:15" x14ac:dyDescent="0.2">
      <c r="B112" s="6"/>
      <c r="C112" s="47"/>
      <c r="D112" s="35"/>
      <c r="E112" s="13"/>
      <c r="O112" s="17"/>
    </row>
    <row r="113" spans="2:5" x14ac:dyDescent="0.2">
      <c r="B113" s="6"/>
      <c r="C113" s="47"/>
      <c r="D113" s="35"/>
      <c r="E113" s="13"/>
    </row>
    <row r="114" spans="2:5" x14ac:dyDescent="0.2">
      <c r="B114" s="6"/>
      <c r="C114" s="47"/>
      <c r="D114" s="35"/>
      <c r="E114" s="13"/>
    </row>
    <row r="115" spans="2:5" x14ac:dyDescent="0.2">
      <c r="B115" s="6"/>
      <c r="C115" s="47"/>
      <c r="D115" s="35"/>
      <c r="E115" s="13"/>
    </row>
    <row r="116" spans="2:5" x14ac:dyDescent="0.2">
      <c r="B116" s="6"/>
      <c r="C116" s="47"/>
      <c r="D116" s="35"/>
      <c r="E116" s="13"/>
    </row>
    <row r="117" spans="2:5" x14ac:dyDescent="0.2">
      <c r="B117" s="6"/>
      <c r="C117" s="47"/>
      <c r="D117" s="35"/>
      <c r="E117" s="13"/>
    </row>
    <row r="118" spans="2:5" x14ac:dyDescent="0.2">
      <c r="B118" s="6"/>
      <c r="C118" s="47"/>
      <c r="D118" s="35"/>
      <c r="E118" s="13"/>
    </row>
    <row r="119" spans="2:5" x14ac:dyDescent="0.2">
      <c r="B119" s="6"/>
      <c r="C119" s="47"/>
      <c r="D119" s="35"/>
      <c r="E119" s="13"/>
    </row>
    <row r="120" spans="2:5" x14ac:dyDescent="0.2">
      <c r="B120" s="6"/>
      <c r="C120" s="47"/>
      <c r="D120" s="35"/>
      <c r="E120" s="13"/>
    </row>
    <row r="121" spans="2:5" x14ac:dyDescent="0.2">
      <c r="B121" s="6"/>
      <c r="C121" s="47"/>
      <c r="D121" s="35"/>
      <c r="E121" s="13"/>
    </row>
    <row r="122" spans="2:5" x14ac:dyDescent="0.2">
      <c r="B122" s="6"/>
      <c r="C122" s="47"/>
      <c r="D122" s="35"/>
      <c r="E122" s="13"/>
    </row>
    <row r="123" spans="2:5" x14ac:dyDescent="0.2">
      <c r="B123" s="6"/>
      <c r="C123" s="47"/>
      <c r="D123" s="35"/>
      <c r="E123" s="13"/>
    </row>
    <row r="124" spans="2:5" x14ac:dyDescent="0.2">
      <c r="B124" s="6"/>
      <c r="C124" s="47"/>
      <c r="D124" s="35"/>
      <c r="E124" s="13"/>
    </row>
    <row r="125" spans="2:5" x14ac:dyDescent="0.2">
      <c r="B125" s="6"/>
      <c r="C125" s="47"/>
      <c r="D125" s="35"/>
      <c r="E125" s="13"/>
    </row>
    <row r="126" spans="2:5" x14ac:dyDescent="0.2">
      <c r="B126" s="6"/>
      <c r="C126" s="47"/>
      <c r="D126" s="35"/>
      <c r="E126" s="13"/>
    </row>
  </sheetData>
  <sheetProtection selectLockedCells="1"/>
  <conditionalFormatting sqref="D30:F64">
    <cfRule type="expression" dxfId="3" priority="5">
      <formula>LEN($D30)&gt;0</formula>
    </cfRule>
  </conditionalFormatting>
  <conditionalFormatting sqref="H30:J50 H58:J72">
    <cfRule type="expression" dxfId="2" priority="3">
      <formula>LEN($H30)&gt;0</formula>
    </cfRule>
  </conditionalFormatting>
  <conditionalFormatting sqref="H30:H50 H58:H72">
    <cfRule type="expression" dxfId="1" priority="2">
      <formula>LEN($H30)&gt;0</formula>
    </cfRule>
  </conditionalFormatting>
  <conditionalFormatting sqref="J30:J50 J58:J65">
    <cfRule type="expression" dxfId="0" priority="1">
      <formula>LEN($H30)&gt;0</formula>
    </cfRule>
  </conditionalFormatting>
  <pageMargins left="0.7" right="0.7" top="0.75" bottom="0.75" header="0.3" footer="0.3"/>
  <pageSetup paperSize="9" scale="55" fitToHeight="0" orientation="portrait" r:id="rId1"/>
  <ignoredErrors>
    <ignoredError sqref="B30:B33" evalError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391CF-4552-4050-A6EE-0D13252A817A}">
  <dimension ref="B2:Q102"/>
  <sheetViews>
    <sheetView showGridLines="0" workbookViewId="0">
      <selection activeCell="M5" sqref="M5"/>
    </sheetView>
  </sheetViews>
  <sheetFormatPr defaultColWidth="8.7109375" defaultRowHeight="12.75" x14ac:dyDescent="0.2"/>
  <cols>
    <col min="1" max="1" width="8.7109375" style="1"/>
    <col min="2" max="2" width="12.7109375" style="1" bestFit="1" customWidth="1"/>
    <col min="3" max="3" width="10.5703125" style="1" bestFit="1" customWidth="1"/>
    <col min="4" max="4" width="8.7109375" style="2"/>
    <col min="5" max="5" width="10.5703125" style="3" bestFit="1" customWidth="1"/>
    <col min="6" max="6" width="11.42578125" style="1" bestFit="1" customWidth="1"/>
    <col min="7" max="7" width="11.5703125" style="1" bestFit="1" customWidth="1"/>
    <col min="8" max="9" width="8.7109375" style="1"/>
    <col min="10" max="10" width="12.42578125" style="1" bestFit="1" customWidth="1"/>
    <col min="11" max="11" width="10.42578125" style="1" customWidth="1"/>
    <col min="12" max="12" width="21.7109375" style="1" bestFit="1" customWidth="1"/>
    <col min="13" max="13" width="11.7109375" style="1" bestFit="1" customWidth="1"/>
    <col min="14" max="16384" width="8.7109375" style="1"/>
  </cols>
  <sheetData>
    <row r="2" spans="2:17" x14ac:dyDescent="0.2">
      <c r="E2" s="1"/>
    </row>
    <row r="3" spans="2:17" ht="13.5" thickBot="1" x14ac:dyDescent="0.25">
      <c r="B3" s="37"/>
      <c r="L3" s="10" t="s">
        <v>10</v>
      </c>
    </row>
    <row r="4" spans="2:17" ht="13.5" thickBot="1" x14ac:dyDescent="0.25">
      <c r="L4" s="4" t="s">
        <v>11</v>
      </c>
      <c r="M4" s="44" t="s">
        <v>12</v>
      </c>
    </row>
    <row r="5" spans="2:17" x14ac:dyDescent="0.2">
      <c r="D5" s="6"/>
      <c r="E5" s="45" t="s">
        <v>6</v>
      </c>
      <c r="F5" s="46" t="s">
        <v>7</v>
      </c>
      <c r="G5" s="46" t="s">
        <v>8</v>
      </c>
      <c r="H5" s="10"/>
      <c r="I5" s="10"/>
      <c r="J5" s="10"/>
      <c r="K5" s="10"/>
      <c r="L5" s="61" t="s">
        <v>13</v>
      </c>
      <c r="M5" s="62">
        <v>1900000</v>
      </c>
    </row>
    <row r="6" spans="2:17" x14ac:dyDescent="0.2">
      <c r="D6" s="6" t="str">
        <f t="shared" ref="D6:D69" si="0">IF(F6=$M$6,$L$6,IF(F6=$M$7,$L$7,"instalment"))</f>
        <v>Down Payment</v>
      </c>
      <c r="E6" s="64">
        <v>46327</v>
      </c>
      <c r="F6" s="35">
        <f>M6</f>
        <v>0.05</v>
      </c>
      <c r="G6" s="13">
        <f>J8</f>
        <v>95008</v>
      </c>
      <c r="H6" s="10"/>
      <c r="I6" s="10" t="s">
        <v>14</v>
      </c>
      <c r="J6" s="14">
        <f>+SUM(F6:F102)</f>
        <v>1.0000000000000002</v>
      </c>
      <c r="K6" s="14"/>
      <c r="L6" s="15" t="s">
        <v>15</v>
      </c>
      <c r="M6" s="40">
        <v>0.05</v>
      </c>
      <c r="Q6" s="17"/>
    </row>
    <row r="7" spans="2:17" x14ac:dyDescent="0.2">
      <c r="D7" s="6" t="str">
        <f t="shared" si="0"/>
        <v>instalment</v>
      </c>
      <c r="E7" s="47">
        <f>IFERROR(
    IF(
        AND($M$9 &gt;= E6, $M$9 &lt;= EDATE(E6, $M$26), E6 &lt;&gt; $M$9),
        $M$9,
        IF(
            EDATE(E6, $M$26) &lt;= EDATE($M$9, $M$13 * $M$26),
            EDATE(E6, $M$26),
            ""
        )
    ),
"")</f>
        <v>46357</v>
      </c>
      <c r="F7" s="35">
        <f>IF(IFERROR(IF(INDEX($M$16:$M$23,MATCH(E7,$L$16:$L$23,0))=0,IF(E7&lt;$M$9,$M$14,IF(E7=$M$9,$M$7,IF(E7="",0,$M$15))),INDEX($M$16:$M$23,MATCH(E7,$L$16:$L$23,0))),IF(E7&lt;$M$9,$M$14,IF(E7=$M$9,$M$7,IF(E7="",0,$M$15))))=0,"",IFERROR(IF(INDEX($M$16:$M$23,MATCH(E7,$L$16:$L$23,0))=0,IF(E7&lt;$M$9,$M$14,IF(E7=$M$9,$M$7,IF(E7="",0,$M$15))),INDEX($M$16:$M$23,MATCH(E7,$L$16:$L$23,0))),IF(E7&lt;$M$9,$M$14,IF(E7=$M$9,$M$7,IF(E7="",0,$M$15)))))</f>
        <v>-2.3129646346357427E-18</v>
      </c>
      <c r="G7" s="13">
        <f>IF(F7="","",IF(F7=0, 0, ROUNDDOWN(F7*$M$5,0.5)))</f>
        <v>0</v>
      </c>
      <c r="H7" s="10"/>
      <c r="I7" s="10" t="s">
        <v>16</v>
      </c>
      <c r="J7" s="19">
        <f>+SUM(G7:G102)</f>
        <v>1804992</v>
      </c>
      <c r="K7" s="19"/>
      <c r="L7" s="20" t="s">
        <v>17</v>
      </c>
      <c r="M7" s="40">
        <v>0.3</v>
      </c>
      <c r="Q7" s="17"/>
    </row>
    <row r="8" spans="2:17" x14ac:dyDescent="0.2">
      <c r="D8" s="6" t="str">
        <f t="shared" si="0"/>
        <v>instalment</v>
      </c>
      <c r="E8" s="47">
        <f>IFERROR(IF(AND($M$9 &gt;= E7, $M$9 &lt;= EDATE(E7, $M$26), E7 &lt;&gt; $M$9),
        $M$9, IF( EDATE(E7, $M$26) &lt;= EDATE($M$9, $M$13 * $M$26), EDATE(E7, $M$26),  ""
        )
    ),
"")</f>
        <v>46388</v>
      </c>
      <c r="F8" s="35">
        <f t="shared" ref="F8:F71" si="1">IF(IFERROR(IF(INDEX($M$16:$M$23,MATCH(E8,$L$16:$L$23,0))=0,IF(E8&lt;$M$9,$M$14,IF(E8=$M$9,$M$7,IF(E8="",0,$M$15))),INDEX($M$16:$M$23,MATCH(E8,$L$16:$L$23,0))),IF(E8&lt;$M$9,$M$14,IF(E8=$M$9,$M$7,IF(E8="",0,$M$15))))=0,"",IFERROR(IF(INDEX($M$16:$M$23,MATCH(E8,$L$16:$L$23,0))=0,IF(E8&lt;$M$9,$M$14,IF(E8=$M$9,$M$7,IF(E8="",0,$M$15))),INDEX($M$16:$M$23,MATCH(E8,$L$16:$L$23,0))),IF(E8&lt;$M$9,$M$14,IF(E8=$M$9,$M$7,IF(E8="",0,$M$15)))))</f>
        <v>-2.3129646346357427E-18</v>
      </c>
      <c r="G8" s="13">
        <f t="shared" ref="G8:G71" si="2">IF(F8="","",IF(F8=0, 0, ROUNDDOWN(F8*$M$5,0.5)))</f>
        <v>0</v>
      </c>
      <c r="H8" s="10"/>
      <c r="I8" s="14" t="s">
        <v>18</v>
      </c>
      <c r="J8" s="19">
        <f>M5-J7</f>
        <v>95008</v>
      </c>
      <c r="K8" s="10"/>
      <c r="L8" s="20" t="s">
        <v>19</v>
      </c>
      <c r="M8" s="40">
        <v>0.35</v>
      </c>
      <c r="Q8" s="17"/>
    </row>
    <row r="9" spans="2:17" x14ac:dyDescent="0.2">
      <c r="D9" s="6" t="str">
        <f t="shared" si="0"/>
        <v>instalment</v>
      </c>
      <c r="E9" s="47">
        <f t="shared" ref="E9:E40" si="3">IFERROR(
    IF(
        AND($M$9 &gt;= E8, $M$9 &lt;= EDATE(E8, $M$26), E8 &lt;&gt; $M$9),
        $M$9,
        IF(
            EDATE(E8, $M$26) &lt;= EDATE($M$9, $M$13 * $M$26),
            EDATE(E8, $M$26),
            ""
        )
    ),
"")</f>
        <v>46419</v>
      </c>
      <c r="F9" s="35">
        <f t="shared" si="1"/>
        <v>-2.3129646346357427E-18</v>
      </c>
      <c r="G9" s="13">
        <f t="shared" si="2"/>
        <v>0</v>
      </c>
      <c r="H9" s="10"/>
      <c r="I9" s="19" t="s">
        <v>20</v>
      </c>
      <c r="J9" s="21">
        <f>SUM(J7:J8)</f>
        <v>1900000</v>
      </c>
      <c r="K9" s="10"/>
      <c r="L9" s="4" t="s">
        <v>21</v>
      </c>
      <c r="M9" s="41">
        <v>46539</v>
      </c>
      <c r="Q9" s="17"/>
    </row>
    <row r="10" spans="2:17" x14ac:dyDescent="0.2">
      <c r="D10" s="6" t="str">
        <f t="shared" si="0"/>
        <v>instalment</v>
      </c>
      <c r="E10" s="47">
        <f t="shared" si="3"/>
        <v>46447</v>
      </c>
      <c r="F10" s="35">
        <f t="shared" si="1"/>
        <v>-2.3129646346357427E-18</v>
      </c>
      <c r="G10" s="13">
        <f t="shared" si="2"/>
        <v>0</v>
      </c>
      <c r="H10" s="10"/>
      <c r="I10" s="19"/>
      <c r="J10" s="38" t="b">
        <f>J8=G6</f>
        <v>1</v>
      </c>
      <c r="K10" s="10"/>
      <c r="L10" s="1" t="s">
        <v>22</v>
      </c>
      <c r="M10" s="24">
        <f>M9-E6</f>
        <v>212</v>
      </c>
      <c r="Q10" s="17"/>
    </row>
    <row r="11" spans="2:17" x14ac:dyDescent="0.2">
      <c r="D11" s="6" t="str">
        <f t="shared" si="0"/>
        <v>instalment</v>
      </c>
      <c r="E11" s="47">
        <f t="shared" si="3"/>
        <v>46478</v>
      </c>
      <c r="F11" s="35">
        <f t="shared" si="1"/>
        <v>-2.3129646346357427E-18</v>
      </c>
      <c r="G11" s="13">
        <f t="shared" si="2"/>
        <v>0</v>
      </c>
      <c r="H11" s="10"/>
      <c r="I11" s="19"/>
      <c r="J11" s="10"/>
      <c r="K11" s="10"/>
      <c r="L11" s="1" t="s">
        <v>23</v>
      </c>
      <c r="M11" s="63">
        <f>IF(M25="Monthly", ROUNDDOWN(M10/(30 * $M$26), 0)-1, ROUNDDOWN(M10/(30 * $M$26), 0))</f>
        <v>6</v>
      </c>
      <c r="Q11" s="17"/>
    </row>
    <row r="12" spans="2:17" x14ac:dyDescent="0.2">
      <c r="D12" s="6" t="str">
        <f t="shared" si="0"/>
        <v>instalment</v>
      </c>
      <c r="E12" s="47">
        <f t="shared" si="3"/>
        <v>46508</v>
      </c>
      <c r="F12" s="35">
        <f t="shared" si="1"/>
        <v>-2.3129646346357427E-18</v>
      </c>
      <c r="G12" s="13">
        <f t="shared" si="2"/>
        <v>0</v>
      </c>
      <c r="H12" s="10"/>
      <c r="I12" s="10"/>
      <c r="J12" s="10"/>
      <c r="K12" s="10"/>
      <c r="L12" s="4" t="s">
        <v>24</v>
      </c>
      <c r="M12" s="42">
        <v>4</v>
      </c>
      <c r="Q12" s="17"/>
    </row>
    <row r="13" spans="2:17" x14ac:dyDescent="0.2">
      <c r="D13" s="6" t="str">
        <f t="shared" si="0"/>
        <v>Handover</v>
      </c>
      <c r="E13" s="47">
        <f t="shared" si="3"/>
        <v>46539</v>
      </c>
      <c r="F13" s="35">
        <f t="shared" si="1"/>
        <v>0.3</v>
      </c>
      <c r="G13" s="13">
        <f>IF(F13="","",IF(F13=0, 0, ROUNDDOWN(F13*$M$5,0.5)))</f>
        <v>570000</v>
      </c>
      <c r="H13" s="10"/>
      <c r="I13" s="10"/>
      <c r="J13" s="10"/>
      <c r="K13" s="10"/>
      <c r="L13" s="1" t="s">
        <v>25</v>
      </c>
      <c r="M13" s="24">
        <f>M12 * (12 / $M$26)</f>
        <v>48</v>
      </c>
      <c r="Q13" s="17"/>
    </row>
    <row r="14" spans="2:17" x14ac:dyDescent="0.2">
      <c r="D14" s="6" t="str">
        <f t="shared" si="0"/>
        <v>instalment</v>
      </c>
      <c r="E14" s="47">
        <f t="shared" si="3"/>
        <v>46569</v>
      </c>
      <c r="F14" s="35">
        <f t="shared" si="1"/>
        <v>1.3541666666666667E-2</v>
      </c>
      <c r="G14" s="13">
        <f t="shared" si="2"/>
        <v>25729</v>
      </c>
      <c r="H14" s="10"/>
      <c r="I14" s="10"/>
      <c r="J14" s="10"/>
      <c r="K14" s="10"/>
      <c r="L14" s="27" t="s">
        <v>26</v>
      </c>
      <c r="M14" s="36">
        <f>(M8 - M7 - M6 - M21 - M22-M23) / (M11 - COUNTIF(M21:M23, "&gt;0"))</f>
        <v>-2.3129646346357427E-18</v>
      </c>
      <c r="Q14" s="17"/>
    </row>
    <row r="15" spans="2:17" x14ac:dyDescent="0.2">
      <c r="D15" s="6" t="str">
        <f t="shared" si="0"/>
        <v>instalment</v>
      </c>
      <c r="E15" s="47">
        <f t="shared" si="3"/>
        <v>46600</v>
      </c>
      <c r="F15" s="35">
        <f t="shared" si="1"/>
        <v>1.3541666666666667E-2</v>
      </c>
      <c r="G15" s="13">
        <f t="shared" si="2"/>
        <v>25729</v>
      </c>
      <c r="H15" s="10"/>
      <c r="I15" s="10"/>
      <c r="J15" s="10"/>
      <c r="K15" s="10"/>
      <c r="L15" s="29" t="s">
        <v>27</v>
      </c>
      <c r="M15" s="30">
        <f>(1 - M8 - SUM(M16:M20)) / (M13 - COUNTIF(M16:M20, "&gt;0"))</f>
        <v>1.3541666666666667E-2</v>
      </c>
      <c r="Q15" s="17"/>
    </row>
    <row r="16" spans="2:17" x14ac:dyDescent="0.2">
      <c r="D16" s="6" t="str">
        <f t="shared" si="0"/>
        <v>instalment</v>
      </c>
      <c r="E16" s="47">
        <f t="shared" si="3"/>
        <v>46631</v>
      </c>
      <c r="F16" s="35">
        <f t="shared" si="1"/>
        <v>1.3541666666666667E-2</v>
      </c>
      <c r="G16" s="13">
        <f t="shared" si="2"/>
        <v>25729</v>
      </c>
      <c r="H16" s="10"/>
      <c r="I16" s="10"/>
      <c r="J16" s="10"/>
      <c r="K16" s="10"/>
      <c r="L16" s="43">
        <v>46508</v>
      </c>
      <c r="M16" s="40">
        <v>0</v>
      </c>
      <c r="Q16" s="17"/>
    </row>
    <row r="17" spans="4:17" x14ac:dyDescent="0.2">
      <c r="D17" s="6" t="str">
        <f t="shared" si="0"/>
        <v>instalment</v>
      </c>
      <c r="E17" s="47">
        <f t="shared" si="3"/>
        <v>46661</v>
      </c>
      <c r="F17" s="35">
        <f t="shared" si="1"/>
        <v>1.3541666666666667E-2</v>
      </c>
      <c r="G17" s="13">
        <f t="shared" si="2"/>
        <v>25729</v>
      </c>
      <c r="H17" s="10"/>
      <c r="I17" s="10"/>
      <c r="J17" s="10"/>
      <c r="K17" s="7" t="s">
        <v>28</v>
      </c>
      <c r="L17" s="43">
        <v>46874</v>
      </c>
      <c r="M17" s="40">
        <v>0</v>
      </c>
      <c r="Q17" s="17"/>
    </row>
    <row r="18" spans="4:17" x14ac:dyDescent="0.2">
      <c r="D18" s="6" t="str">
        <f t="shared" si="0"/>
        <v>instalment</v>
      </c>
      <c r="E18" s="47">
        <f t="shared" si="3"/>
        <v>46692</v>
      </c>
      <c r="F18" s="35">
        <f t="shared" si="1"/>
        <v>1.3541666666666667E-2</v>
      </c>
      <c r="G18" s="13">
        <f t="shared" si="2"/>
        <v>25729</v>
      </c>
      <c r="H18" s="10"/>
      <c r="I18" s="10"/>
      <c r="J18" s="10"/>
      <c r="K18" s="7" t="s">
        <v>28</v>
      </c>
      <c r="L18" s="43">
        <v>47239</v>
      </c>
      <c r="M18" s="40">
        <v>0</v>
      </c>
      <c r="Q18" s="17"/>
    </row>
    <row r="19" spans="4:17" x14ac:dyDescent="0.2">
      <c r="D19" s="6" t="str">
        <f t="shared" si="0"/>
        <v>instalment</v>
      </c>
      <c r="E19" s="47">
        <f t="shared" si="3"/>
        <v>46722</v>
      </c>
      <c r="F19" s="35">
        <f t="shared" si="1"/>
        <v>1.3541666666666667E-2</v>
      </c>
      <c r="G19" s="13">
        <f t="shared" si="2"/>
        <v>25729</v>
      </c>
      <c r="H19" s="10"/>
      <c r="I19" s="10"/>
      <c r="J19" s="10"/>
      <c r="K19" s="7" t="s">
        <v>28</v>
      </c>
      <c r="L19" s="43">
        <v>47604</v>
      </c>
      <c r="M19" s="40">
        <v>0</v>
      </c>
      <c r="Q19" s="17"/>
    </row>
    <row r="20" spans="4:17" x14ac:dyDescent="0.2">
      <c r="D20" s="6" t="str">
        <f t="shared" si="0"/>
        <v>instalment</v>
      </c>
      <c r="E20" s="47">
        <f t="shared" si="3"/>
        <v>46753</v>
      </c>
      <c r="F20" s="35">
        <f t="shared" si="1"/>
        <v>1.3541666666666667E-2</v>
      </c>
      <c r="G20" s="13">
        <f t="shared" si="2"/>
        <v>25729</v>
      </c>
      <c r="H20" s="10"/>
      <c r="I20" s="10"/>
      <c r="J20" s="10"/>
      <c r="K20" s="7" t="s">
        <v>28</v>
      </c>
      <c r="L20" s="43">
        <v>47969</v>
      </c>
      <c r="M20" s="40">
        <v>0</v>
      </c>
      <c r="Q20" s="17"/>
    </row>
    <row r="21" spans="4:17" x14ac:dyDescent="0.2">
      <c r="D21" s="6" t="str">
        <f t="shared" si="0"/>
        <v>instalment</v>
      </c>
      <c r="E21" s="47">
        <f t="shared" si="3"/>
        <v>46784</v>
      </c>
      <c r="F21" s="35">
        <f t="shared" si="1"/>
        <v>1.3541666666666667E-2</v>
      </c>
      <c r="G21" s="13">
        <f t="shared" si="2"/>
        <v>25729</v>
      </c>
      <c r="H21" s="10"/>
      <c r="I21" s="10"/>
      <c r="J21" s="10"/>
      <c r="K21" s="7" t="s">
        <v>29</v>
      </c>
      <c r="L21" s="43"/>
      <c r="M21" s="40">
        <v>0</v>
      </c>
      <c r="Q21" s="17"/>
    </row>
    <row r="22" spans="4:17" x14ac:dyDescent="0.2">
      <c r="D22" s="6" t="str">
        <f t="shared" si="0"/>
        <v>instalment</v>
      </c>
      <c r="E22" s="47">
        <f t="shared" si="3"/>
        <v>46813</v>
      </c>
      <c r="F22" s="35">
        <f t="shared" si="1"/>
        <v>1.3541666666666667E-2</v>
      </c>
      <c r="G22" s="13">
        <f t="shared" si="2"/>
        <v>25729</v>
      </c>
      <c r="H22" s="10"/>
      <c r="I22" s="10"/>
      <c r="J22" s="10"/>
      <c r="K22" s="7" t="s">
        <v>29</v>
      </c>
      <c r="L22" s="43"/>
      <c r="M22" s="40">
        <v>0</v>
      </c>
      <c r="Q22" s="17"/>
    </row>
    <row r="23" spans="4:17" x14ac:dyDescent="0.2">
      <c r="D23" s="6" t="str">
        <f t="shared" si="0"/>
        <v>instalment</v>
      </c>
      <c r="E23" s="47">
        <f t="shared" si="3"/>
        <v>46844</v>
      </c>
      <c r="F23" s="35">
        <f t="shared" si="1"/>
        <v>1.3541666666666667E-2</v>
      </c>
      <c r="G23" s="13">
        <f t="shared" si="2"/>
        <v>25729</v>
      </c>
      <c r="H23" s="10"/>
      <c r="I23" s="10"/>
      <c r="J23" s="10"/>
      <c r="K23" s="7" t="s">
        <v>29</v>
      </c>
      <c r="L23" s="43"/>
      <c r="M23" s="40">
        <v>0</v>
      </c>
      <c r="Q23" s="17"/>
    </row>
    <row r="24" spans="4:17" x14ac:dyDescent="0.2">
      <c r="D24" s="6" t="str">
        <f t="shared" si="0"/>
        <v>instalment</v>
      </c>
      <c r="E24" s="47">
        <f t="shared" si="3"/>
        <v>46874</v>
      </c>
      <c r="F24" s="35">
        <f t="shared" si="1"/>
        <v>1.3541666666666667E-2</v>
      </c>
      <c r="G24" s="13">
        <f t="shared" si="2"/>
        <v>25729</v>
      </c>
      <c r="H24" s="10"/>
      <c r="I24" s="10"/>
      <c r="J24" s="10"/>
      <c r="K24" s="10"/>
      <c r="Q24" s="17"/>
    </row>
    <row r="25" spans="4:17" x14ac:dyDescent="0.2">
      <c r="D25" s="6" t="str">
        <f t="shared" si="0"/>
        <v>instalment</v>
      </c>
      <c r="E25" s="47">
        <f t="shared" si="3"/>
        <v>46905</v>
      </c>
      <c r="F25" s="35">
        <f t="shared" si="1"/>
        <v>1.3541666666666667E-2</v>
      </c>
      <c r="G25" s="13">
        <f t="shared" si="2"/>
        <v>25729</v>
      </c>
      <c r="H25" s="10"/>
      <c r="I25" s="10"/>
      <c r="J25" s="10"/>
      <c r="K25" s="10"/>
      <c r="L25" s="6" t="s">
        <v>9</v>
      </c>
      <c r="M25" s="6" t="str">
        <f>M4</f>
        <v>Monthly</v>
      </c>
      <c r="Q25" s="17"/>
    </row>
    <row r="26" spans="4:17" x14ac:dyDescent="0.2">
      <c r="D26" s="6" t="str">
        <f t="shared" si="0"/>
        <v>instalment</v>
      </c>
      <c r="E26" s="47">
        <f t="shared" si="3"/>
        <v>46935</v>
      </c>
      <c r="F26" s="35">
        <f t="shared" si="1"/>
        <v>1.3541666666666667E-2</v>
      </c>
      <c r="G26" s="13">
        <f t="shared" si="2"/>
        <v>25729</v>
      </c>
      <c r="H26" s="10"/>
      <c r="I26" s="10"/>
      <c r="J26" s="10"/>
      <c r="K26" s="10"/>
      <c r="L26" s="6"/>
      <c r="M26" s="32">
        <f>CHOOSE(MATCH(M25, {"Annual","Semi Annual","Quarterly","Monthly"}, 0), 12, 6, 3, 1)</f>
        <v>1</v>
      </c>
      <c r="Q26" s="17"/>
    </row>
    <row r="27" spans="4:17" x14ac:dyDescent="0.2">
      <c r="D27" s="6" t="str">
        <f t="shared" si="0"/>
        <v>instalment</v>
      </c>
      <c r="E27" s="47">
        <f t="shared" si="3"/>
        <v>46966</v>
      </c>
      <c r="F27" s="35">
        <f t="shared" si="1"/>
        <v>1.3541666666666667E-2</v>
      </c>
      <c r="G27" s="13">
        <f t="shared" si="2"/>
        <v>25729</v>
      </c>
      <c r="H27" s="10"/>
      <c r="I27" s="10"/>
      <c r="J27" s="10"/>
      <c r="K27" s="10"/>
      <c r="L27" s="10"/>
      <c r="M27" s="10"/>
      <c r="Q27" s="17"/>
    </row>
    <row r="28" spans="4:17" x14ac:dyDescent="0.2">
      <c r="D28" s="6" t="str">
        <f t="shared" si="0"/>
        <v>instalment</v>
      </c>
      <c r="E28" s="47">
        <f t="shared" si="3"/>
        <v>46997</v>
      </c>
      <c r="F28" s="35">
        <f t="shared" si="1"/>
        <v>1.3541666666666667E-2</v>
      </c>
      <c r="G28" s="13">
        <f t="shared" si="2"/>
        <v>25729</v>
      </c>
      <c r="H28" s="10"/>
      <c r="I28" s="10"/>
      <c r="J28" s="10"/>
      <c r="K28" s="10"/>
      <c r="L28" s="10"/>
      <c r="M28" s="10"/>
      <c r="Q28" s="17"/>
    </row>
    <row r="29" spans="4:17" x14ac:dyDescent="0.2">
      <c r="D29" s="6" t="str">
        <f t="shared" si="0"/>
        <v>instalment</v>
      </c>
      <c r="E29" s="47">
        <f t="shared" si="3"/>
        <v>47027</v>
      </c>
      <c r="F29" s="35">
        <f t="shared" si="1"/>
        <v>1.3541666666666667E-2</v>
      </c>
      <c r="G29" s="13">
        <f t="shared" si="2"/>
        <v>25729</v>
      </c>
      <c r="H29" s="10"/>
      <c r="I29" s="10"/>
      <c r="J29" s="10"/>
      <c r="K29" s="10"/>
      <c r="L29" s="10"/>
      <c r="M29" s="10"/>
      <c r="Q29" s="17"/>
    </row>
    <row r="30" spans="4:17" x14ac:dyDescent="0.2">
      <c r="D30" s="6" t="str">
        <f t="shared" si="0"/>
        <v>instalment</v>
      </c>
      <c r="E30" s="47">
        <f t="shared" si="3"/>
        <v>47058</v>
      </c>
      <c r="F30" s="35">
        <f t="shared" si="1"/>
        <v>1.3541666666666667E-2</v>
      </c>
      <c r="G30" s="13">
        <f t="shared" si="2"/>
        <v>25729</v>
      </c>
      <c r="H30" s="10"/>
      <c r="I30" s="10"/>
      <c r="J30" s="10"/>
      <c r="K30" s="10"/>
      <c r="L30" s="10"/>
      <c r="M30" s="10"/>
      <c r="Q30" s="17"/>
    </row>
    <row r="31" spans="4:17" x14ac:dyDescent="0.2">
      <c r="D31" s="6" t="str">
        <f t="shared" si="0"/>
        <v>instalment</v>
      </c>
      <c r="E31" s="47">
        <f t="shared" si="3"/>
        <v>47088</v>
      </c>
      <c r="F31" s="35">
        <f t="shared" si="1"/>
        <v>1.3541666666666667E-2</v>
      </c>
      <c r="G31" s="13">
        <f t="shared" si="2"/>
        <v>25729</v>
      </c>
      <c r="H31" s="10"/>
      <c r="I31" s="10"/>
      <c r="J31" s="10"/>
      <c r="K31" s="10"/>
      <c r="L31" s="10"/>
      <c r="M31" s="10"/>
      <c r="Q31" s="17"/>
    </row>
    <row r="32" spans="4:17" x14ac:dyDescent="0.2">
      <c r="D32" s="6" t="str">
        <f t="shared" si="0"/>
        <v>instalment</v>
      </c>
      <c r="E32" s="47">
        <f t="shared" si="3"/>
        <v>47119</v>
      </c>
      <c r="F32" s="35">
        <f t="shared" si="1"/>
        <v>1.3541666666666667E-2</v>
      </c>
      <c r="G32" s="13">
        <f t="shared" si="2"/>
        <v>25729</v>
      </c>
      <c r="H32" s="10"/>
      <c r="I32" s="10"/>
      <c r="J32" s="10"/>
      <c r="K32" s="10"/>
      <c r="L32" s="10"/>
      <c r="M32" s="10"/>
      <c r="Q32" s="17"/>
    </row>
    <row r="33" spans="4:17" x14ac:dyDescent="0.2">
      <c r="D33" s="6" t="str">
        <f t="shared" si="0"/>
        <v>instalment</v>
      </c>
      <c r="E33" s="47">
        <f t="shared" si="3"/>
        <v>47150</v>
      </c>
      <c r="F33" s="35">
        <f t="shared" si="1"/>
        <v>1.3541666666666667E-2</v>
      </c>
      <c r="G33" s="13">
        <f t="shared" si="2"/>
        <v>25729</v>
      </c>
      <c r="H33" s="10"/>
      <c r="I33" s="10"/>
      <c r="J33" s="10"/>
      <c r="K33" s="10"/>
      <c r="L33" s="10"/>
      <c r="M33" s="10"/>
      <c r="Q33" s="17"/>
    </row>
    <row r="34" spans="4:17" x14ac:dyDescent="0.2">
      <c r="D34" s="6" t="str">
        <f t="shared" si="0"/>
        <v>instalment</v>
      </c>
      <c r="E34" s="47">
        <f t="shared" si="3"/>
        <v>47178</v>
      </c>
      <c r="F34" s="35">
        <f t="shared" si="1"/>
        <v>1.3541666666666667E-2</v>
      </c>
      <c r="G34" s="13">
        <f t="shared" si="2"/>
        <v>25729</v>
      </c>
      <c r="H34" s="10"/>
      <c r="I34" s="10"/>
      <c r="J34" s="10"/>
      <c r="K34" s="10"/>
      <c r="L34" s="10"/>
      <c r="M34" s="10"/>
      <c r="Q34" s="33"/>
    </row>
    <row r="35" spans="4:17" x14ac:dyDescent="0.2">
      <c r="D35" s="6" t="str">
        <f t="shared" si="0"/>
        <v>instalment</v>
      </c>
      <c r="E35" s="47">
        <f t="shared" si="3"/>
        <v>47209</v>
      </c>
      <c r="F35" s="35">
        <f t="shared" si="1"/>
        <v>1.3541666666666667E-2</v>
      </c>
      <c r="G35" s="13">
        <f t="shared" si="2"/>
        <v>25729</v>
      </c>
      <c r="H35" s="10"/>
      <c r="I35" s="10"/>
      <c r="J35" s="10"/>
      <c r="K35" s="10"/>
      <c r="L35" s="10"/>
      <c r="M35" s="10"/>
      <c r="Q35" s="17"/>
    </row>
    <row r="36" spans="4:17" x14ac:dyDescent="0.2">
      <c r="D36" s="6" t="str">
        <f t="shared" si="0"/>
        <v>instalment</v>
      </c>
      <c r="E36" s="47">
        <f t="shared" si="3"/>
        <v>47239</v>
      </c>
      <c r="F36" s="35">
        <f t="shared" si="1"/>
        <v>1.3541666666666667E-2</v>
      </c>
      <c r="G36" s="13">
        <f t="shared" si="2"/>
        <v>25729</v>
      </c>
      <c r="H36" s="10"/>
      <c r="I36" s="10"/>
      <c r="J36" s="10"/>
      <c r="K36" s="10"/>
      <c r="L36" s="10"/>
      <c r="M36" s="10"/>
      <c r="Q36" s="17"/>
    </row>
    <row r="37" spans="4:17" x14ac:dyDescent="0.2">
      <c r="D37" s="6" t="str">
        <f t="shared" si="0"/>
        <v>instalment</v>
      </c>
      <c r="E37" s="47">
        <f t="shared" si="3"/>
        <v>47270</v>
      </c>
      <c r="F37" s="35">
        <f t="shared" si="1"/>
        <v>1.3541666666666667E-2</v>
      </c>
      <c r="G37" s="13">
        <f t="shared" si="2"/>
        <v>25729</v>
      </c>
      <c r="H37" s="10"/>
      <c r="I37" s="10"/>
      <c r="J37" s="10"/>
      <c r="K37" s="10"/>
      <c r="L37" s="10"/>
      <c r="M37" s="10"/>
      <c r="Q37" s="17"/>
    </row>
    <row r="38" spans="4:17" x14ac:dyDescent="0.2">
      <c r="D38" s="6" t="str">
        <f t="shared" si="0"/>
        <v>instalment</v>
      </c>
      <c r="E38" s="47">
        <f t="shared" si="3"/>
        <v>47300</v>
      </c>
      <c r="F38" s="35">
        <f t="shared" si="1"/>
        <v>1.3541666666666667E-2</v>
      </c>
      <c r="G38" s="13">
        <f t="shared" si="2"/>
        <v>25729</v>
      </c>
      <c r="H38" s="10"/>
      <c r="I38" s="10"/>
      <c r="J38" s="10"/>
      <c r="K38" s="10"/>
      <c r="L38" s="10"/>
      <c r="M38" s="10"/>
      <c r="Q38" s="17"/>
    </row>
    <row r="39" spans="4:17" x14ac:dyDescent="0.2">
      <c r="D39" s="6" t="str">
        <f t="shared" si="0"/>
        <v>instalment</v>
      </c>
      <c r="E39" s="47">
        <f t="shared" si="3"/>
        <v>47331</v>
      </c>
      <c r="F39" s="35">
        <f t="shared" si="1"/>
        <v>1.3541666666666667E-2</v>
      </c>
      <c r="G39" s="13">
        <f t="shared" si="2"/>
        <v>25729</v>
      </c>
      <c r="H39" s="10"/>
      <c r="I39" s="10"/>
      <c r="J39" s="10"/>
      <c r="K39" s="10"/>
      <c r="L39" s="10"/>
      <c r="M39" s="10"/>
      <c r="Q39" s="17"/>
    </row>
    <row r="40" spans="4:17" x14ac:dyDescent="0.2">
      <c r="D40" s="6" t="str">
        <f t="shared" si="0"/>
        <v>instalment</v>
      </c>
      <c r="E40" s="47">
        <f t="shared" si="3"/>
        <v>47362</v>
      </c>
      <c r="F40" s="35">
        <f t="shared" si="1"/>
        <v>1.3541666666666667E-2</v>
      </c>
      <c r="G40" s="13">
        <f t="shared" si="2"/>
        <v>25729</v>
      </c>
      <c r="H40" s="10"/>
      <c r="I40" s="10"/>
      <c r="J40" s="10"/>
      <c r="K40" s="10"/>
      <c r="L40" s="10"/>
      <c r="M40" s="10"/>
      <c r="Q40" s="17"/>
    </row>
    <row r="41" spans="4:17" x14ac:dyDescent="0.2">
      <c r="D41" s="6" t="str">
        <f t="shared" si="0"/>
        <v>instalment</v>
      </c>
      <c r="E41" s="47">
        <f t="shared" ref="E41:E72" si="4">IFERROR(
    IF(
        AND($M$9 &gt;= E40, $M$9 &lt;= EDATE(E40, $M$26), E40 &lt;&gt; $M$9),
        $M$9,
        IF(
            EDATE(E40, $M$26) &lt;= EDATE($M$9, $M$13 * $M$26),
            EDATE(E40, $M$26),
            ""
        )
    ),
"")</f>
        <v>47392</v>
      </c>
      <c r="F41" s="35">
        <f t="shared" si="1"/>
        <v>1.3541666666666667E-2</v>
      </c>
      <c r="G41" s="13">
        <f t="shared" si="2"/>
        <v>25729</v>
      </c>
      <c r="H41" s="10"/>
      <c r="I41" s="10"/>
      <c r="J41" s="10"/>
      <c r="K41" s="10"/>
      <c r="L41" s="10"/>
      <c r="M41" s="10"/>
      <c r="Q41" s="17"/>
    </row>
    <row r="42" spans="4:17" x14ac:dyDescent="0.2">
      <c r="D42" s="6" t="str">
        <f t="shared" si="0"/>
        <v>instalment</v>
      </c>
      <c r="E42" s="47">
        <f t="shared" si="4"/>
        <v>47423</v>
      </c>
      <c r="F42" s="35">
        <f t="shared" si="1"/>
        <v>1.3541666666666667E-2</v>
      </c>
      <c r="G42" s="13">
        <f t="shared" si="2"/>
        <v>25729</v>
      </c>
      <c r="H42" s="10"/>
      <c r="I42" s="10"/>
      <c r="J42" s="10"/>
      <c r="K42" s="10"/>
      <c r="L42" s="10"/>
      <c r="M42" s="10"/>
      <c r="Q42" s="17"/>
    </row>
    <row r="43" spans="4:17" x14ac:dyDescent="0.2">
      <c r="D43" s="6" t="str">
        <f t="shared" si="0"/>
        <v>instalment</v>
      </c>
      <c r="E43" s="47">
        <f t="shared" si="4"/>
        <v>47453</v>
      </c>
      <c r="F43" s="35">
        <f t="shared" si="1"/>
        <v>1.3541666666666667E-2</v>
      </c>
      <c r="G43" s="13">
        <f t="shared" si="2"/>
        <v>25729</v>
      </c>
      <c r="H43" s="10"/>
      <c r="I43" s="10"/>
      <c r="J43" s="10"/>
      <c r="K43" s="10"/>
      <c r="L43" s="10"/>
      <c r="M43" s="10"/>
      <c r="Q43" s="17"/>
    </row>
    <row r="44" spans="4:17" x14ac:dyDescent="0.2">
      <c r="D44" s="6" t="str">
        <f t="shared" si="0"/>
        <v>instalment</v>
      </c>
      <c r="E44" s="47">
        <f t="shared" si="4"/>
        <v>47484</v>
      </c>
      <c r="F44" s="35">
        <f t="shared" si="1"/>
        <v>1.3541666666666667E-2</v>
      </c>
      <c r="G44" s="13">
        <f t="shared" si="2"/>
        <v>25729</v>
      </c>
      <c r="H44" s="10"/>
      <c r="I44" s="10"/>
      <c r="J44" s="10"/>
      <c r="K44" s="10"/>
      <c r="L44" s="10"/>
      <c r="M44" s="10"/>
      <c r="Q44" s="17"/>
    </row>
    <row r="45" spans="4:17" x14ac:dyDescent="0.2">
      <c r="D45" s="6" t="str">
        <f t="shared" si="0"/>
        <v>instalment</v>
      </c>
      <c r="E45" s="47">
        <f t="shared" si="4"/>
        <v>47515</v>
      </c>
      <c r="F45" s="35">
        <f t="shared" si="1"/>
        <v>1.3541666666666667E-2</v>
      </c>
      <c r="G45" s="13">
        <f t="shared" si="2"/>
        <v>25729</v>
      </c>
      <c r="H45" s="10"/>
      <c r="I45" s="10"/>
      <c r="J45" s="10"/>
      <c r="K45" s="10"/>
      <c r="L45" s="10"/>
      <c r="M45" s="10"/>
      <c r="Q45" s="17"/>
    </row>
    <row r="46" spans="4:17" x14ac:dyDescent="0.2">
      <c r="D46" s="6" t="str">
        <f t="shared" si="0"/>
        <v>instalment</v>
      </c>
      <c r="E46" s="47">
        <f t="shared" si="4"/>
        <v>47543</v>
      </c>
      <c r="F46" s="35">
        <f t="shared" si="1"/>
        <v>1.3541666666666667E-2</v>
      </c>
      <c r="G46" s="13">
        <f t="shared" si="2"/>
        <v>25729</v>
      </c>
      <c r="H46" s="10"/>
      <c r="I46" s="10"/>
      <c r="J46" s="10"/>
      <c r="K46" s="10"/>
      <c r="L46" s="10"/>
      <c r="M46" s="10"/>
      <c r="Q46" s="17"/>
    </row>
    <row r="47" spans="4:17" x14ac:dyDescent="0.2">
      <c r="D47" s="6" t="str">
        <f t="shared" si="0"/>
        <v>instalment</v>
      </c>
      <c r="E47" s="47">
        <f t="shared" si="4"/>
        <v>47574</v>
      </c>
      <c r="F47" s="35">
        <f t="shared" si="1"/>
        <v>1.3541666666666667E-2</v>
      </c>
      <c r="G47" s="13">
        <f t="shared" si="2"/>
        <v>25729</v>
      </c>
      <c r="H47" s="10"/>
      <c r="I47" s="10"/>
      <c r="J47" s="39"/>
      <c r="K47" s="39"/>
      <c r="L47" s="10"/>
      <c r="M47" s="10"/>
      <c r="Q47" s="17"/>
    </row>
    <row r="48" spans="4:17" x14ac:dyDescent="0.2">
      <c r="D48" s="6" t="str">
        <f t="shared" si="0"/>
        <v>instalment</v>
      </c>
      <c r="E48" s="47">
        <f t="shared" si="4"/>
        <v>47604</v>
      </c>
      <c r="F48" s="35">
        <f t="shared" si="1"/>
        <v>1.3541666666666667E-2</v>
      </c>
      <c r="G48" s="13">
        <f t="shared" si="2"/>
        <v>25729</v>
      </c>
      <c r="H48" s="10"/>
      <c r="I48" s="10"/>
      <c r="J48" s="10"/>
      <c r="K48" s="10"/>
      <c r="L48" s="10"/>
      <c r="M48" s="10"/>
      <c r="Q48" s="17"/>
    </row>
    <row r="49" spans="4:17" x14ac:dyDescent="0.2">
      <c r="D49" s="6" t="str">
        <f t="shared" si="0"/>
        <v>instalment</v>
      </c>
      <c r="E49" s="47">
        <f t="shared" si="4"/>
        <v>47635</v>
      </c>
      <c r="F49" s="35">
        <f t="shared" si="1"/>
        <v>1.3541666666666667E-2</v>
      </c>
      <c r="G49" s="13">
        <f t="shared" si="2"/>
        <v>25729</v>
      </c>
      <c r="H49" s="10"/>
      <c r="I49" s="10"/>
      <c r="J49" s="10"/>
      <c r="K49" s="10"/>
      <c r="L49" s="10"/>
      <c r="M49" s="10"/>
      <c r="Q49" s="17"/>
    </row>
    <row r="50" spans="4:17" x14ac:dyDescent="0.2">
      <c r="D50" s="6" t="str">
        <f t="shared" si="0"/>
        <v>instalment</v>
      </c>
      <c r="E50" s="47">
        <f t="shared" si="4"/>
        <v>47665</v>
      </c>
      <c r="F50" s="35">
        <f t="shared" si="1"/>
        <v>1.3541666666666667E-2</v>
      </c>
      <c r="G50" s="13">
        <f t="shared" si="2"/>
        <v>25729</v>
      </c>
      <c r="H50" s="10"/>
      <c r="I50" s="10"/>
      <c r="J50" s="10"/>
      <c r="K50" s="10"/>
      <c r="L50" s="10"/>
      <c r="M50" s="10"/>
      <c r="Q50" s="17"/>
    </row>
    <row r="51" spans="4:17" x14ac:dyDescent="0.2">
      <c r="D51" s="6" t="str">
        <f t="shared" si="0"/>
        <v>instalment</v>
      </c>
      <c r="E51" s="47">
        <f t="shared" si="4"/>
        <v>47696</v>
      </c>
      <c r="F51" s="35">
        <f t="shared" si="1"/>
        <v>1.3541666666666667E-2</v>
      </c>
      <c r="G51" s="13">
        <f t="shared" si="2"/>
        <v>25729</v>
      </c>
      <c r="H51" s="10"/>
      <c r="I51" s="10"/>
      <c r="J51" s="10"/>
      <c r="K51" s="10"/>
      <c r="L51" s="10"/>
      <c r="M51" s="10"/>
      <c r="Q51" s="17"/>
    </row>
    <row r="52" spans="4:17" x14ac:dyDescent="0.2">
      <c r="D52" s="6" t="str">
        <f t="shared" si="0"/>
        <v>instalment</v>
      </c>
      <c r="E52" s="47">
        <f t="shared" si="4"/>
        <v>47727</v>
      </c>
      <c r="F52" s="35">
        <f>IF(IFERROR(IF(INDEX($M$16:$M$23,MATCH(E52,$L$16:$L$23,0))=0,IF(E52&lt;$M$9,$M$14,IF(E52=$M$9,$M$7,IF(E52="",0,$M$15))),INDEX($M$16:$M$23,MATCH(E52,$L$16:$L$23,0))),IF(E52&lt;$M$9,$M$14,IF(E52=$M$9,$M$7,IF(E52="",0,$M$15))))=0,"",IFERROR(IF(INDEX($M$16:$M$23,MATCH(E52,$L$16:$L$23,0))=0,IF(E52&lt;$M$9,$M$14,IF(E52=$M$9,$M$7,IF(E52="",0,$M$15))),INDEX($M$16:$M$23,MATCH(E52,$L$16:$L$23,0))),IF(E52&lt;$M$9,$M$14,IF(E52=$M$9,$M$7,IF(E52="",0,$M$15)))))</f>
        <v>1.3541666666666667E-2</v>
      </c>
      <c r="G52" s="13">
        <f t="shared" si="2"/>
        <v>25729</v>
      </c>
      <c r="H52" s="10"/>
      <c r="I52" s="10"/>
      <c r="J52" s="10"/>
      <c r="K52" s="10"/>
      <c r="L52" s="10"/>
      <c r="M52" s="10"/>
      <c r="Q52" s="17"/>
    </row>
    <row r="53" spans="4:17" x14ac:dyDescent="0.2">
      <c r="D53" s="6" t="str">
        <f t="shared" si="0"/>
        <v>instalment</v>
      </c>
      <c r="E53" s="47">
        <f t="shared" si="4"/>
        <v>47757</v>
      </c>
      <c r="F53" s="35">
        <f t="shared" si="1"/>
        <v>1.3541666666666667E-2</v>
      </c>
      <c r="G53" s="13">
        <f t="shared" si="2"/>
        <v>25729</v>
      </c>
      <c r="H53" s="10"/>
      <c r="I53" s="10"/>
      <c r="J53" s="10"/>
      <c r="K53" s="10"/>
      <c r="L53" s="10"/>
      <c r="M53" s="10"/>
      <c r="Q53" s="17"/>
    </row>
    <row r="54" spans="4:17" x14ac:dyDescent="0.2">
      <c r="D54" s="6" t="str">
        <f t="shared" si="0"/>
        <v>instalment</v>
      </c>
      <c r="E54" s="47">
        <f t="shared" si="4"/>
        <v>47788</v>
      </c>
      <c r="F54" s="35">
        <f t="shared" si="1"/>
        <v>1.3541666666666667E-2</v>
      </c>
      <c r="G54" s="13">
        <f t="shared" si="2"/>
        <v>25729</v>
      </c>
      <c r="H54" s="10"/>
      <c r="I54" s="10"/>
      <c r="J54" s="10"/>
      <c r="K54" s="10"/>
      <c r="L54" s="10"/>
      <c r="M54" s="10"/>
      <c r="Q54" s="17"/>
    </row>
    <row r="55" spans="4:17" x14ac:dyDescent="0.2">
      <c r="D55" s="6" t="str">
        <f t="shared" si="0"/>
        <v>instalment</v>
      </c>
      <c r="E55" s="47">
        <f t="shared" si="4"/>
        <v>47818</v>
      </c>
      <c r="F55" s="35">
        <f t="shared" si="1"/>
        <v>1.3541666666666667E-2</v>
      </c>
      <c r="G55" s="13">
        <f t="shared" si="2"/>
        <v>25729</v>
      </c>
      <c r="H55" s="10"/>
      <c r="I55" s="10"/>
      <c r="J55" s="10"/>
      <c r="K55" s="10"/>
      <c r="L55" s="10"/>
      <c r="M55" s="10"/>
      <c r="Q55" s="17"/>
    </row>
    <row r="56" spans="4:17" x14ac:dyDescent="0.2">
      <c r="D56" s="6" t="str">
        <f t="shared" si="0"/>
        <v>instalment</v>
      </c>
      <c r="E56" s="47">
        <f t="shared" si="4"/>
        <v>47849</v>
      </c>
      <c r="F56" s="35">
        <f t="shared" si="1"/>
        <v>1.3541666666666667E-2</v>
      </c>
      <c r="G56" s="13">
        <f t="shared" si="2"/>
        <v>25729</v>
      </c>
      <c r="H56" s="10"/>
      <c r="I56" s="10"/>
      <c r="J56" s="10"/>
      <c r="K56" s="10"/>
      <c r="L56" s="10"/>
      <c r="M56" s="10"/>
      <c r="Q56" s="17"/>
    </row>
    <row r="57" spans="4:17" x14ac:dyDescent="0.2">
      <c r="D57" s="6" t="str">
        <f t="shared" si="0"/>
        <v>instalment</v>
      </c>
      <c r="E57" s="47">
        <f t="shared" si="4"/>
        <v>47880</v>
      </c>
      <c r="F57" s="35">
        <f t="shared" si="1"/>
        <v>1.3541666666666667E-2</v>
      </c>
      <c r="G57" s="13">
        <f t="shared" si="2"/>
        <v>25729</v>
      </c>
      <c r="H57" s="10"/>
      <c r="I57" s="10"/>
      <c r="J57" s="10"/>
      <c r="K57" s="10"/>
      <c r="L57" s="10"/>
      <c r="M57" s="10"/>
      <c r="Q57" s="17"/>
    </row>
    <row r="58" spans="4:17" x14ac:dyDescent="0.2">
      <c r="D58" s="6" t="str">
        <f t="shared" si="0"/>
        <v>instalment</v>
      </c>
      <c r="E58" s="47">
        <f t="shared" si="4"/>
        <v>47908</v>
      </c>
      <c r="F58" s="35">
        <f t="shared" si="1"/>
        <v>1.3541666666666667E-2</v>
      </c>
      <c r="G58" s="13">
        <f t="shared" si="2"/>
        <v>25729</v>
      </c>
      <c r="H58" s="10"/>
      <c r="I58" s="10"/>
      <c r="J58" s="10"/>
      <c r="K58" s="10"/>
      <c r="L58" s="10"/>
      <c r="M58" s="10"/>
      <c r="Q58" s="17"/>
    </row>
    <row r="59" spans="4:17" x14ac:dyDescent="0.2">
      <c r="D59" s="6" t="str">
        <f t="shared" si="0"/>
        <v>instalment</v>
      </c>
      <c r="E59" s="47">
        <f t="shared" si="4"/>
        <v>47939</v>
      </c>
      <c r="F59" s="35">
        <f t="shared" si="1"/>
        <v>1.3541666666666667E-2</v>
      </c>
      <c r="G59" s="13">
        <f t="shared" si="2"/>
        <v>25729</v>
      </c>
      <c r="H59" s="10"/>
      <c r="I59" s="10"/>
      <c r="J59" s="10"/>
      <c r="K59" s="10"/>
      <c r="L59" s="10"/>
      <c r="M59" s="10"/>
      <c r="Q59" s="17"/>
    </row>
    <row r="60" spans="4:17" x14ac:dyDescent="0.2">
      <c r="D60" s="6" t="str">
        <f t="shared" si="0"/>
        <v>instalment</v>
      </c>
      <c r="E60" s="47">
        <f t="shared" si="4"/>
        <v>47969</v>
      </c>
      <c r="F60" s="35">
        <f t="shared" si="1"/>
        <v>1.3541666666666667E-2</v>
      </c>
      <c r="G60" s="13">
        <f t="shared" si="2"/>
        <v>25729</v>
      </c>
      <c r="H60" s="10"/>
      <c r="I60" s="10"/>
      <c r="J60" s="10"/>
      <c r="K60" s="10"/>
      <c r="L60" s="10"/>
      <c r="M60" s="10"/>
      <c r="Q60" s="17"/>
    </row>
    <row r="61" spans="4:17" x14ac:dyDescent="0.2">
      <c r="D61" s="6" t="str">
        <f t="shared" si="0"/>
        <v>instalment</v>
      </c>
      <c r="E61" s="47">
        <f t="shared" si="4"/>
        <v>48000</v>
      </c>
      <c r="F61" s="35">
        <f t="shared" si="1"/>
        <v>1.3541666666666667E-2</v>
      </c>
      <c r="G61" s="13">
        <f t="shared" si="2"/>
        <v>25729</v>
      </c>
      <c r="H61" s="10"/>
      <c r="I61" s="10"/>
      <c r="J61" s="10"/>
      <c r="K61" s="10"/>
      <c r="L61" s="10"/>
      <c r="M61" s="10"/>
      <c r="Q61" s="17"/>
    </row>
    <row r="62" spans="4:17" x14ac:dyDescent="0.2">
      <c r="D62" s="6" t="str">
        <f t="shared" si="0"/>
        <v>instalment</v>
      </c>
      <c r="E62" s="47" t="str">
        <f t="shared" si="4"/>
        <v/>
      </c>
      <c r="F62" s="35" t="str">
        <f t="shared" si="1"/>
        <v/>
      </c>
      <c r="G62" s="13" t="str">
        <f t="shared" si="2"/>
        <v/>
      </c>
      <c r="H62" s="10"/>
      <c r="I62" s="10"/>
      <c r="J62" s="10"/>
      <c r="K62" s="10"/>
      <c r="L62" s="10"/>
      <c r="M62" s="10"/>
      <c r="Q62" s="17"/>
    </row>
    <row r="63" spans="4:17" x14ac:dyDescent="0.2">
      <c r="D63" s="6" t="str">
        <f t="shared" si="0"/>
        <v>instalment</v>
      </c>
      <c r="E63" s="47" t="str">
        <f t="shared" si="4"/>
        <v/>
      </c>
      <c r="F63" s="35" t="str">
        <f t="shared" si="1"/>
        <v/>
      </c>
      <c r="G63" s="13" t="str">
        <f t="shared" si="2"/>
        <v/>
      </c>
      <c r="H63" s="10"/>
      <c r="I63" s="10"/>
      <c r="J63" s="10"/>
      <c r="K63" s="10"/>
      <c r="L63" s="10"/>
      <c r="M63" s="10"/>
      <c r="Q63" s="17"/>
    </row>
    <row r="64" spans="4:17" x14ac:dyDescent="0.2">
      <c r="D64" s="6" t="str">
        <f t="shared" si="0"/>
        <v>instalment</v>
      </c>
      <c r="E64" s="47" t="str">
        <f t="shared" si="4"/>
        <v/>
      </c>
      <c r="F64" s="35" t="str">
        <f t="shared" si="1"/>
        <v/>
      </c>
      <c r="G64" s="13" t="str">
        <f t="shared" si="2"/>
        <v/>
      </c>
      <c r="H64" s="10"/>
      <c r="I64" s="10"/>
      <c r="J64" s="10"/>
      <c r="K64" s="10"/>
      <c r="L64" s="10"/>
      <c r="M64" s="10"/>
      <c r="Q64" s="17"/>
    </row>
    <row r="65" spans="4:17" x14ac:dyDescent="0.2">
      <c r="D65" s="6" t="str">
        <f t="shared" si="0"/>
        <v>instalment</v>
      </c>
      <c r="E65" s="47" t="str">
        <f t="shared" si="4"/>
        <v/>
      </c>
      <c r="F65" s="35" t="str">
        <f t="shared" si="1"/>
        <v/>
      </c>
      <c r="G65" s="13" t="str">
        <f t="shared" si="2"/>
        <v/>
      </c>
      <c r="H65" s="10"/>
      <c r="I65" s="10"/>
      <c r="J65" s="10"/>
      <c r="K65" s="10"/>
      <c r="L65" s="10"/>
      <c r="M65" s="10"/>
      <c r="Q65" s="17"/>
    </row>
    <row r="66" spans="4:17" x14ac:dyDescent="0.2">
      <c r="D66" s="6" t="str">
        <f t="shared" si="0"/>
        <v>instalment</v>
      </c>
      <c r="E66" s="47" t="str">
        <f t="shared" si="4"/>
        <v/>
      </c>
      <c r="F66" s="35" t="str">
        <f t="shared" si="1"/>
        <v/>
      </c>
      <c r="G66" s="13" t="str">
        <f t="shared" si="2"/>
        <v/>
      </c>
      <c r="H66" s="10"/>
      <c r="I66" s="10"/>
      <c r="J66" s="10"/>
      <c r="K66" s="10"/>
      <c r="L66" s="10"/>
      <c r="M66" s="10"/>
      <c r="Q66" s="17"/>
    </row>
    <row r="67" spans="4:17" x14ac:dyDescent="0.2">
      <c r="D67" s="6" t="str">
        <f t="shared" si="0"/>
        <v>instalment</v>
      </c>
      <c r="E67" s="47" t="str">
        <f t="shared" si="4"/>
        <v/>
      </c>
      <c r="F67" s="35" t="str">
        <f t="shared" si="1"/>
        <v/>
      </c>
      <c r="G67" s="13" t="str">
        <f t="shared" si="2"/>
        <v/>
      </c>
      <c r="H67" s="10"/>
      <c r="I67" s="10"/>
      <c r="J67" s="10"/>
      <c r="K67" s="10"/>
      <c r="L67" s="10"/>
      <c r="M67" s="10"/>
      <c r="Q67" s="17"/>
    </row>
    <row r="68" spans="4:17" x14ac:dyDescent="0.2">
      <c r="D68" s="6" t="str">
        <f t="shared" si="0"/>
        <v>instalment</v>
      </c>
      <c r="E68" s="47" t="str">
        <f t="shared" si="4"/>
        <v/>
      </c>
      <c r="F68" s="35" t="str">
        <f t="shared" si="1"/>
        <v/>
      </c>
      <c r="G68" s="13" t="str">
        <f t="shared" si="2"/>
        <v/>
      </c>
      <c r="H68" s="10"/>
      <c r="I68" s="10"/>
      <c r="J68" s="10"/>
      <c r="K68" s="10"/>
      <c r="L68" s="10"/>
      <c r="M68" s="10"/>
      <c r="Q68" s="17"/>
    </row>
    <row r="69" spans="4:17" x14ac:dyDescent="0.2">
      <c r="D69" s="6" t="str">
        <f t="shared" si="0"/>
        <v>instalment</v>
      </c>
      <c r="E69" s="47" t="str">
        <f t="shared" si="4"/>
        <v/>
      </c>
      <c r="F69" s="35" t="str">
        <f t="shared" si="1"/>
        <v/>
      </c>
      <c r="G69" s="13" t="str">
        <f t="shared" si="2"/>
        <v/>
      </c>
      <c r="H69" s="10"/>
      <c r="I69" s="10"/>
      <c r="J69" s="10"/>
      <c r="K69" s="10"/>
      <c r="L69" s="10"/>
      <c r="M69" s="10"/>
      <c r="Q69" s="17"/>
    </row>
    <row r="70" spans="4:17" x14ac:dyDescent="0.2">
      <c r="D70" s="6" t="str">
        <f t="shared" ref="D70:D102" si="5">IF(F70=$M$6,$L$6,IF(F70=$M$7,$L$7,"instalment"))</f>
        <v>instalment</v>
      </c>
      <c r="E70" s="47" t="str">
        <f t="shared" si="4"/>
        <v/>
      </c>
      <c r="F70" s="35" t="str">
        <f t="shared" si="1"/>
        <v/>
      </c>
      <c r="G70" s="13" t="str">
        <f t="shared" si="2"/>
        <v/>
      </c>
      <c r="H70" s="10"/>
      <c r="I70" s="10"/>
      <c r="J70" s="10"/>
      <c r="K70" s="10"/>
      <c r="L70" s="10"/>
      <c r="M70" s="10"/>
      <c r="Q70" s="17"/>
    </row>
    <row r="71" spans="4:17" x14ac:dyDescent="0.2">
      <c r="D71" s="6" t="str">
        <f t="shared" si="5"/>
        <v>instalment</v>
      </c>
      <c r="E71" s="47" t="str">
        <f t="shared" si="4"/>
        <v/>
      </c>
      <c r="F71" s="35" t="str">
        <f t="shared" si="1"/>
        <v/>
      </c>
      <c r="G71" s="13" t="str">
        <f t="shared" si="2"/>
        <v/>
      </c>
      <c r="H71" s="10"/>
      <c r="I71" s="10"/>
      <c r="J71" s="10"/>
      <c r="K71" s="10"/>
      <c r="L71" s="10"/>
      <c r="M71" s="10"/>
      <c r="Q71" s="17"/>
    </row>
    <row r="72" spans="4:17" x14ac:dyDescent="0.2">
      <c r="D72" s="6" t="str">
        <f t="shared" si="5"/>
        <v>instalment</v>
      </c>
      <c r="E72" s="47" t="str">
        <f t="shared" si="4"/>
        <v/>
      </c>
      <c r="F72" s="35" t="str">
        <f t="shared" ref="F72:F102" si="6">IF(IFERROR(IF(INDEX($M$16:$M$23,MATCH(E72,$L$16:$L$23,0))=0,IF(E72&lt;$M$9,$M$14,IF(E72=$M$9,$M$7,IF(E72="",0,$M$15))),INDEX($M$16:$M$23,MATCH(E72,$L$16:$L$23,0))),IF(E72&lt;$M$9,$M$14,IF(E72=$M$9,$M$7,IF(E72="",0,$M$15))))=0,"",IFERROR(IF(INDEX($M$16:$M$23,MATCH(E72,$L$16:$L$23,0))=0,IF(E72&lt;$M$9,$M$14,IF(E72=$M$9,$M$7,IF(E72="",0,$M$15))),INDEX($M$16:$M$23,MATCH(E72,$L$16:$L$23,0))),IF(E72&lt;$M$9,$M$14,IF(E72=$M$9,$M$7,IF(E72="",0,$M$15)))))</f>
        <v/>
      </c>
      <c r="G72" s="13" t="str">
        <f t="shared" ref="G72:G102" si="7">IF(F72="","",IF(F72=0, 0, ROUNDDOWN(F72*$M$5,0.5)))</f>
        <v/>
      </c>
      <c r="H72" s="10"/>
      <c r="I72" s="10"/>
      <c r="J72" s="10"/>
      <c r="K72" s="10"/>
      <c r="L72" s="10"/>
      <c r="M72" s="10"/>
      <c r="Q72" s="17"/>
    </row>
    <row r="73" spans="4:17" x14ac:dyDescent="0.2">
      <c r="D73" s="6" t="str">
        <f t="shared" si="5"/>
        <v>instalment</v>
      </c>
      <c r="E73" s="47" t="str">
        <f t="shared" ref="E73:E102" si="8">IFERROR(
    IF(
        AND($M$9 &gt;= E72, $M$9 &lt;= EDATE(E72, $M$26), E72 &lt;&gt; $M$9),
        $M$9,
        IF(
            EDATE(E72, $M$26) &lt;= EDATE($M$9, $M$13 * $M$26),
            EDATE(E72, $M$26),
            ""
        )
    ),
"")</f>
        <v/>
      </c>
      <c r="F73" s="35" t="str">
        <f t="shared" si="6"/>
        <v/>
      </c>
      <c r="G73" s="13" t="str">
        <f t="shared" si="7"/>
        <v/>
      </c>
      <c r="H73" s="10"/>
      <c r="I73" s="10"/>
      <c r="J73" s="10"/>
      <c r="K73" s="10"/>
      <c r="L73" s="10"/>
      <c r="M73" s="10"/>
      <c r="Q73" s="17"/>
    </row>
    <row r="74" spans="4:17" x14ac:dyDescent="0.2">
      <c r="D74" s="6" t="str">
        <f t="shared" si="5"/>
        <v>instalment</v>
      </c>
      <c r="E74" s="47" t="str">
        <f t="shared" si="8"/>
        <v/>
      </c>
      <c r="F74" s="35" t="str">
        <f t="shared" si="6"/>
        <v/>
      </c>
      <c r="G74" s="13" t="str">
        <f t="shared" si="7"/>
        <v/>
      </c>
      <c r="H74" s="10"/>
      <c r="I74" s="10"/>
      <c r="J74" s="10"/>
      <c r="K74" s="10"/>
      <c r="L74" s="10"/>
      <c r="M74" s="10"/>
      <c r="Q74" s="17"/>
    </row>
    <row r="75" spans="4:17" x14ac:dyDescent="0.2">
      <c r="D75" s="6" t="str">
        <f t="shared" si="5"/>
        <v>instalment</v>
      </c>
      <c r="E75" s="47" t="str">
        <f t="shared" si="8"/>
        <v/>
      </c>
      <c r="F75" s="35" t="str">
        <f t="shared" si="6"/>
        <v/>
      </c>
      <c r="G75" s="13" t="str">
        <f t="shared" si="7"/>
        <v/>
      </c>
      <c r="H75" s="10"/>
      <c r="I75" s="10"/>
      <c r="J75" s="10"/>
      <c r="K75" s="10"/>
      <c r="L75" s="10"/>
      <c r="M75" s="10"/>
      <c r="Q75" s="17"/>
    </row>
    <row r="76" spans="4:17" x14ac:dyDescent="0.2">
      <c r="D76" s="6" t="str">
        <f t="shared" si="5"/>
        <v>instalment</v>
      </c>
      <c r="E76" s="47" t="str">
        <f t="shared" si="8"/>
        <v/>
      </c>
      <c r="F76" s="35" t="str">
        <f t="shared" si="6"/>
        <v/>
      </c>
      <c r="G76" s="13" t="str">
        <f t="shared" si="7"/>
        <v/>
      </c>
      <c r="H76" s="10"/>
      <c r="I76" s="10"/>
      <c r="J76" s="10"/>
      <c r="K76" s="10"/>
      <c r="L76" s="10"/>
      <c r="M76" s="10"/>
      <c r="Q76" s="17"/>
    </row>
    <row r="77" spans="4:17" x14ac:dyDescent="0.2">
      <c r="D77" s="6" t="str">
        <f t="shared" si="5"/>
        <v>instalment</v>
      </c>
      <c r="E77" s="47" t="str">
        <f t="shared" si="8"/>
        <v/>
      </c>
      <c r="F77" s="35" t="str">
        <f t="shared" si="6"/>
        <v/>
      </c>
      <c r="G77" s="13" t="str">
        <f t="shared" si="7"/>
        <v/>
      </c>
      <c r="H77" s="10"/>
      <c r="I77" s="10"/>
      <c r="J77" s="10"/>
      <c r="K77" s="10"/>
      <c r="L77" s="10"/>
      <c r="M77" s="10"/>
      <c r="Q77" s="17"/>
    </row>
    <row r="78" spans="4:17" x14ac:dyDescent="0.2">
      <c r="D78" s="6" t="str">
        <f t="shared" si="5"/>
        <v>instalment</v>
      </c>
      <c r="E78" s="47" t="str">
        <f t="shared" si="8"/>
        <v/>
      </c>
      <c r="F78" s="35" t="str">
        <f t="shared" si="6"/>
        <v/>
      </c>
      <c r="G78" s="13" t="str">
        <f t="shared" si="7"/>
        <v/>
      </c>
      <c r="H78" s="10"/>
      <c r="I78" s="10"/>
      <c r="J78" s="10"/>
      <c r="K78" s="10"/>
      <c r="L78" s="10"/>
      <c r="M78" s="10"/>
      <c r="Q78" s="17"/>
    </row>
    <row r="79" spans="4:17" x14ac:dyDescent="0.2">
      <c r="D79" s="6" t="str">
        <f t="shared" si="5"/>
        <v>instalment</v>
      </c>
      <c r="E79" s="47" t="str">
        <f t="shared" si="8"/>
        <v/>
      </c>
      <c r="F79" s="35" t="str">
        <f t="shared" si="6"/>
        <v/>
      </c>
      <c r="G79" s="13" t="str">
        <f t="shared" si="7"/>
        <v/>
      </c>
      <c r="Q79" s="17"/>
    </row>
    <row r="80" spans="4:17" x14ac:dyDescent="0.2">
      <c r="D80" s="6" t="str">
        <f t="shared" si="5"/>
        <v>instalment</v>
      </c>
      <c r="E80" s="47" t="str">
        <f t="shared" si="8"/>
        <v/>
      </c>
      <c r="F80" s="35" t="str">
        <f t="shared" si="6"/>
        <v/>
      </c>
      <c r="G80" s="13" t="str">
        <f t="shared" si="7"/>
        <v/>
      </c>
      <c r="Q80" s="17"/>
    </row>
    <row r="81" spans="4:17" x14ac:dyDescent="0.2">
      <c r="D81" s="6" t="str">
        <f t="shared" si="5"/>
        <v>instalment</v>
      </c>
      <c r="E81" s="47" t="str">
        <f t="shared" si="8"/>
        <v/>
      </c>
      <c r="F81" s="35" t="str">
        <f t="shared" si="6"/>
        <v/>
      </c>
      <c r="G81" s="13" t="str">
        <f t="shared" si="7"/>
        <v/>
      </c>
      <c r="Q81" s="17"/>
    </row>
    <row r="82" spans="4:17" x14ac:dyDescent="0.2">
      <c r="D82" s="6" t="str">
        <f t="shared" si="5"/>
        <v>instalment</v>
      </c>
      <c r="E82" s="47" t="str">
        <f t="shared" si="8"/>
        <v/>
      </c>
      <c r="F82" s="35" t="str">
        <f t="shared" si="6"/>
        <v/>
      </c>
      <c r="G82" s="13" t="str">
        <f t="shared" si="7"/>
        <v/>
      </c>
      <c r="Q82" s="17"/>
    </row>
    <row r="83" spans="4:17" x14ac:dyDescent="0.2">
      <c r="D83" s="6" t="str">
        <f t="shared" si="5"/>
        <v>instalment</v>
      </c>
      <c r="E83" s="47" t="str">
        <f t="shared" si="8"/>
        <v/>
      </c>
      <c r="F83" s="35" t="str">
        <f t="shared" si="6"/>
        <v/>
      </c>
      <c r="G83" s="13" t="str">
        <f t="shared" si="7"/>
        <v/>
      </c>
      <c r="Q83" s="17"/>
    </row>
    <row r="84" spans="4:17" x14ac:dyDescent="0.2">
      <c r="D84" s="6" t="str">
        <f t="shared" si="5"/>
        <v>instalment</v>
      </c>
      <c r="E84" s="47" t="str">
        <f t="shared" si="8"/>
        <v/>
      </c>
      <c r="F84" s="35" t="str">
        <f t="shared" si="6"/>
        <v/>
      </c>
      <c r="G84" s="13" t="str">
        <f t="shared" si="7"/>
        <v/>
      </c>
      <c r="Q84" s="17"/>
    </row>
    <row r="85" spans="4:17" x14ac:dyDescent="0.2">
      <c r="D85" s="6" t="str">
        <f t="shared" si="5"/>
        <v>instalment</v>
      </c>
      <c r="E85" s="47" t="str">
        <f t="shared" si="8"/>
        <v/>
      </c>
      <c r="F85" s="35" t="str">
        <f t="shared" si="6"/>
        <v/>
      </c>
      <c r="G85" s="13" t="str">
        <f t="shared" si="7"/>
        <v/>
      </c>
      <c r="Q85" s="17"/>
    </row>
    <row r="86" spans="4:17" x14ac:dyDescent="0.2">
      <c r="D86" s="6" t="str">
        <f t="shared" si="5"/>
        <v>instalment</v>
      </c>
      <c r="E86" s="47" t="str">
        <f t="shared" si="8"/>
        <v/>
      </c>
      <c r="F86" s="35" t="str">
        <f t="shared" si="6"/>
        <v/>
      </c>
      <c r="G86" s="13" t="str">
        <f t="shared" si="7"/>
        <v/>
      </c>
      <c r="Q86" s="17"/>
    </row>
    <row r="87" spans="4:17" x14ac:dyDescent="0.2">
      <c r="D87" s="6" t="str">
        <f t="shared" si="5"/>
        <v>instalment</v>
      </c>
      <c r="E87" s="47" t="str">
        <f t="shared" si="8"/>
        <v/>
      </c>
      <c r="F87" s="35" t="str">
        <f t="shared" si="6"/>
        <v/>
      </c>
      <c r="G87" s="13" t="str">
        <f t="shared" si="7"/>
        <v/>
      </c>
      <c r="Q87" s="17"/>
    </row>
    <row r="88" spans="4:17" x14ac:dyDescent="0.2">
      <c r="D88" s="6" t="str">
        <f t="shared" si="5"/>
        <v>instalment</v>
      </c>
      <c r="E88" s="47" t="str">
        <f t="shared" si="8"/>
        <v/>
      </c>
      <c r="F88" s="35" t="str">
        <f t="shared" si="6"/>
        <v/>
      </c>
      <c r="G88" s="13" t="str">
        <f t="shared" si="7"/>
        <v/>
      </c>
      <c r="Q88" s="17"/>
    </row>
    <row r="89" spans="4:17" x14ac:dyDescent="0.2">
      <c r="D89" s="6" t="str">
        <f t="shared" si="5"/>
        <v>instalment</v>
      </c>
      <c r="E89" s="47" t="str">
        <f t="shared" si="8"/>
        <v/>
      </c>
      <c r="F89" s="35" t="str">
        <f t="shared" si="6"/>
        <v/>
      </c>
      <c r="G89" s="13" t="str">
        <f t="shared" si="7"/>
        <v/>
      </c>
    </row>
    <row r="90" spans="4:17" x14ac:dyDescent="0.2">
      <c r="D90" s="6" t="str">
        <f t="shared" si="5"/>
        <v>instalment</v>
      </c>
      <c r="E90" s="47" t="str">
        <f t="shared" si="8"/>
        <v/>
      </c>
      <c r="F90" s="35" t="str">
        <f t="shared" si="6"/>
        <v/>
      </c>
      <c r="G90" s="13" t="str">
        <f t="shared" si="7"/>
        <v/>
      </c>
    </row>
    <row r="91" spans="4:17" x14ac:dyDescent="0.2">
      <c r="D91" s="6" t="str">
        <f t="shared" si="5"/>
        <v>instalment</v>
      </c>
      <c r="E91" s="47" t="str">
        <f t="shared" si="8"/>
        <v/>
      </c>
      <c r="F91" s="35" t="str">
        <f t="shared" si="6"/>
        <v/>
      </c>
      <c r="G91" s="13" t="str">
        <f t="shared" si="7"/>
        <v/>
      </c>
    </row>
    <row r="92" spans="4:17" x14ac:dyDescent="0.2">
      <c r="D92" s="6" t="str">
        <f t="shared" si="5"/>
        <v>instalment</v>
      </c>
      <c r="E92" s="47" t="str">
        <f t="shared" si="8"/>
        <v/>
      </c>
      <c r="F92" s="35" t="str">
        <f t="shared" si="6"/>
        <v/>
      </c>
      <c r="G92" s="13" t="str">
        <f t="shared" si="7"/>
        <v/>
      </c>
    </row>
    <row r="93" spans="4:17" x14ac:dyDescent="0.2">
      <c r="D93" s="6" t="str">
        <f t="shared" si="5"/>
        <v>instalment</v>
      </c>
      <c r="E93" s="47" t="str">
        <f t="shared" si="8"/>
        <v/>
      </c>
      <c r="F93" s="35" t="str">
        <f t="shared" si="6"/>
        <v/>
      </c>
      <c r="G93" s="13" t="str">
        <f t="shared" si="7"/>
        <v/>
      </c>
    </row>
    <row r="94" spans="4:17" x14ac:dyDescent="0.2">
      <c r="D94" s="6" t="str">
        <f t="shared" si="5"/>
        <v>instalment</v>
      </c>
      <c r="E94" s="47" t="str">
        <f t="shared" si="8"/>
        <v/>
      </c>
      <c r="F94" s="35" t="str">
        <f t="shared" si="6"/>
        <v/>
      </c>
      <c r="G94" s="13" t="str">
        <f t="shared" si="7"/>
        <v/>
      </c>
    </row>
    <row r="95" spans="4:17" x14ac:dyDescent="0.2">
      <c r="D95" s="6" t="str">
        <f t="shared" si="5"/>
        <v>instalment</v>
      </c>
      <c r="E95" s="47" t="str">
        <f t="shared" si="8"/>
        <v/>
      </c>
      <c r="F95" s="35" t="str">
        <f t="shared" si="6"/>
        <v/>
      </c>
      <c r="G95" s="13" t="str">
        <f t="shared" si="7"/>
        <v/>
      </c>
    </row>
    <row r="96" spans="4:17" x14ac:dyDescent="0.2">
      <c r="D96" s="6" t="str">
        <f t="shared" si="5"/>
        <v>instalment</v>
      </c>
      <c r="E96" s="47" t="str">
        <f t="shared" si="8"/>
        <v/>
      </c>
      <c r="F96" s="35" t="str">
        <f t="shared" si="6"/>
        <v/>
      </c>
      <c r="G96" s="13" t="str">
        <f t="shared" si="7"/>
        <v/>
      </c>
    </row>
    <row r="97" spans="4:7" x14ac:dyDescent="0.2">
      <c r="D97" s="6" t="str">
        <f t="shared" si="5"/>
        <v>instalment</v>
      </c>
      <c r="E97" s="47" t="str">
        <f t="shared" si="8"/>
        <v/>
      </c>
      <c r="F97" s="35" t="str">
        <f t="shared" si="6"/>
        <v/>
      </c>
      <c r="G97" s="13" t="str">
        <f t="shared" si="7"/>
        <v/>
      </c>
    </row>
    <row r="98" spans="4:7" x14ac:dyDescent="0.2">
      <c r="D98" s="6" t="str">
        <f t="shared" si="5"/>
        <v>instalment</v>
      </c>
      <c r="E98" s="47" t="str">
        <f t="shared" si="8"/>
        <v/>
      </c>
      <c r="F98" s="35" t="str">
        <f t="shared" si="6"/>
        <v/>
      </c>
      <c r="G98" s="13" t="str">
        <f t="shared" si="7"/>
        <v/>
      </c>
    </row>
    <row r="99" spans="4:7" x14ac:dyDescent="0.2">
      <c r="D99" s="6" t="str">
        <f t="shared" si="5"/>
        <v>instalment</v>
      </c>
      <c r="E99" s="47" t="str">
        <f t="shared" si="8"/>
        <v/>
      </c>
      <c r="F99" s="35" t="str">
        <f t="shared" si="6"/>
        <v/>
      </c>
      <c r="G99" s="13" t="str">
        <f t="shared" si="7"/>
        <v/>
      </c>
    </row>
    <row r="100" spans="4:7" x14ac:dyDescent="0.2">
      <c r="D100" s="6" t="str">
        <f t="shared" si="5"/>
        <v>instalment</v>
      </c>
      <c r="E100" s="47" t="str">
        <f t="shared" si="8"/>
        <v/>
      </c>
      <c r="F100" s="35" t="str">
        <f t="shared" si="6"/>
        <v/>
      </c>
      <c r="G100" s="13" t="str">
        <f t="shared" si="7"/>
        <v/>
      </c>
    </row>
    <row r="101" spans="4:7" x14ac:dyDescent="0.2">
      <c r="D101" s="6" t="str">
        <f t="shared" si="5"/>
        <v>instalment</v>
      </c>
      <c r="E101" s="47" t="str">
        <f t="shared" si="8"/>
        <v/>
      </c>
      <c r="F101" s="35" t="str">
        <f t="shared" si="6"/>
        <v/>
      </c>
      <c r="G101" s="13" t="str">
        <f t="shared" si="7"/>
        <v/>
      </c>
    </row>
    <row r="102" spans="4:7" x14ac:dyDescent="0.2">
      <c r="D102" s="6" t="str">
        <f t="shared" si="5"/>
        <v>instalment</v>
      </c>
      <c r="E102" s="47" t="str">
        <f t="shared" si="8"/>
        <v/>
      </c>
      <c r="F102" s="35" t="str">
        <f t="shared" si="6"/>
        <v/>
      </c>
      <c r="G102" s="13" t="str">
        <f t="shared" si="7"/>
        <v/>
      </c>
    </row>
  </sheetData>
  <sheetProtection algorithmName="SHA-512" hashValue="AgA5eovZ4J8SvvbWYojPRJSvlIhQb4pTfrCgvy0HlZxZ5Sx28f5rt9FGxdk87Rer3fiWQltSFv03w39ETw2lAQ==" saltValue="WAqoyUF8V/IR0SyKmhuUwQ==" spinCount="100000" sheet="1" selectLockedCells="1"/>
  <protectedRanges>
    <protectedRange algorithmName="SHA-512" hashValue="HblXLayrBq4r9N5zgJqtOH3D8ueh1Ht+sbcJ6qgMnnS+uqpR3kMPHJe6EAR1pHJKAqUfw6WScILRVHZsGzFpJw==" saltValue="ZPyLwOCOkjOzDuhV3TM/IA==" spinCount="100000" sqref="D8:F82 H8:H82 D4:H7 G8:G102" name="Range1"/>
  </protectedRanges>
  <dataValidations count="2">
    <dataValidation type="list" allowBlank="1" showInputMessage="1" showErrorMessage="1" sqref="M4" xr:uid="{FFFAC671-1D2A-4F9D-ABEE-AB8493D85580}">
      <formula1>"Annual, Semi Annual, Quarterly, Monthly"</formula1>
    </dataValidation>
    <dataValidation type="custom" allowBlank="1" showErrorMessage="1" errorTitle="CHANGE DATE" error="The date of the balloon must appear on the original payment schedule. Please enter a date that already falls in the original payment plan" promptTitle="CAUTION" prompt="When selecting a value, make sure to enter a date that already appears on the payment schedule" sqref="M16:M21" xr:uid="{D163A73C-38DC-429A-9819-E5BC828669E0}">
      <formula1>OR(M16=0, COUNTIF($E:$E, $L16) &gt; 0)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BE37A-A4A7-42F6-8DD4-999088600B64}">
  <dimension ref="B1:Q102"/>
  <sheetViews>
    <sheetView showGridLines="0" workbookViewId="0">
      <selection activeCell="F15" sqref="F15"/>
    </sheetView>
  </sheetViews>
  <sheetFormatPr defaultColWidth="8.7109375" defaultRowHeight="12.75" x14ac:dyDescent="0.2"/>
  <cols>
    <col min="1" max="1" width="8.7109375" style="1"/>
    <col min="2" max="2" width="10.42578125" style="1" bestFit="1" customWidth="1"/>
    <col min="3" max="3" width="10.5703125" style="1" bestFit="1" customWidth="1"/>
    <col min="4" max="4" width="8.85546875" style="2"/>
    <col min="5" max="5" width="9.140625" style="3" bestFit="1" customWidth="1"/>
    <col min="6" max="6" width="11.42578125" style="1" bestFit="1" customWidth="1"/>
    <col min="7" max="7" width="11.5703125" style="1" bestFit="1" customWidth="1"/>
    <col min="8" max="9" width="8.7109375" style="1"/>
    <col min="10" max="10" width="12.42578125" style="1" bestFit="1" customWidth="1"/>
    <col min="11" max="11" width="10.42578125" style="1" customWidth="1"/>
    <col min="12" max="12" width="21.7109375" style="1" bestFit="1" customWidth="1"/>
    <col min="13" max="13" width="9.28515625" style="1" bestFit="1" customWidth="1"/>
    <col min="14" max="16384" width="8.7109375" style="1"/>
  </cols>
  <sheetData>
    <row r="1" spans="2:17" ht="13.5" thickBot="1" x14ac:dyDescent="0.25"/>
    <row r="2" spans="2:17" ht="13.5" thickBot="1" x14ac:dyDescent="0.25">
      <c r="B2" s="4" t="s">
        <v>30</v>
      </c>
      <c r="C2" s="5" t="s">
        <v>31</v>
      </c>
      <c r="E2" s="8" t="s">
        <v>13</v>
      </c>
      <c r="F2" s="9">
        <v>5000000</v>
      </c>
    </row>
    <row r="5" spans="2:17" x14ac:dyDescent="0.2">
      <c r="D5" s="6"/>
      <c r="E5" s="7"/>
      <c r="H5" s="10"/>
      <c r="I5" s="10"/>
      <c r="J5" s="10"/>
      <c r="K5" s="10"/>
      <c r="L5" s="10" t="s">
        <v>10</v>
      </c>
      <c r="M5" s="10"/>
    </row>
    <row r="6" spans="2:17" x14ac:dyDescent="0.2">
      <c r="D6" s="6" t="str">
        <f t="shared" ref="D6:D37" si="0">IF(F6=$M$6,$L$6,IF(F6=$M$7,$L$7,"instalment"))</f>
        <v>Down Payment</v>
      </c>
      <c r="E6" s="11">
        <v>45962</v>
      </c>
      <c r="F6" s="12">
        <f>M6</f>
        <v>0.1</v>
      </c>
      <c r="G6" s="13">
        <f>J8</f>
        <v>500000</v>
      </c>
      <c r="H6" s="10"/>
      <c r="I6" s="10" t="s">
        <v>14</v>
      </c>
      <c r="J6" s="14">
        <f>+SUM(F6:F102)</f>
        <v>0.99999999999999967</v>
      </c>
      <c r="K6" s="14"/>
      <c r="L6" s="15" t="s">
        <v>15</v>
      </c>
      <c r="M6" s="16">
        <v>0.1</v>
      </c>
      <c r="Q6" s="17"/>
    </row>
    <row r="7" spans="2:17" x14ac:dyDescent="0.2">
      <c r="D7" s="6" t="str">
        <f t="shared" si="0"/>
        <v>instalment</v>
      </c>
      <c r="E7" s="18">
        <f>IFERROR(
    IF(
        AND($M$9 &gt;= E6, $M$9 &lt;= EDATE(E6, $M$22), E6 &lt;&gt; $M$9),
        $M$9,
        IF(
            EDATE(E6, $M$22) &lt;= EDATE($M$9, $M$13 * $M$22),
            EDATE(E6, $M$22),
            ""
        )
    ),
"")</f>
        <v>46143</v>
      </c>
      <c r="F7" s="12">
        <f t="shared" ref="F7:F38" si="1">IF(IFERROR(IF(INDEX($M$16:$M$20,MATCH(E7,$L$16:$L$20,0))=0,IF(E7&lt;$M$9,$M$14,IF(E7=$M$9,$M$7,IF(E7="",0,$M$15))),INDEX($M$16:$M$20,MATCH(E7,$L$16:$L$20,0))),IF(E7&lt;$M$9,$M$14,IF(E7=$M$9,$M$7,IF(E7="",0,$M$15))))=0,"",IFERROR(IF(INDEX($M$16:$M$20,MATCH(E7,$L$16:$L$20,0))=0,IF(E7&lt;$M$9,$M$14,IF(E7=$M$9,$M$7,IF(E7="",0,$M$15))),INDEX($M$16:$M$20,MATCH(E7,$L$16:$L$20,0))),IF(E7&lt;$M$9,$M$14,IF(E7=$M$9,$M$7,IF(E7="",0,$M$15)))))</f>
        <v>7.9999999999999988E-2</v>
      </c>
      <c r="G7" s="13">
        <f t="shared" ref="G7:G38" si="2">+IFERROR(ROUNDUP(F7*$F$2,-0.5), "")</f>
        <v>400000</v>
      </c>
      <c r="H7" s="10"/>
      <c r="I7" s="10" t="s">
        <v>16</v>
      </c>
      <c r="J7" s="19">
        <f>+SUM(G7:G102)</f>
        <v>4500000</v>
      </c>
      <c r="K7" s="19"/>
      <c r="L7" s="20" t="s">
        <v>17</v>
      </c>
      <c r="M7" s="16">
        <v>0.15</v>
      </c>
      <c r="Q7" s="17"/>
    </row>
    <row r="8" spans="2:17" x14ac:dyDescent="0.2">
      <c r="D8" s="6" t="str">
        <f t="shared" si="0"/>
        <v>instalment</v>
      </c>
      <c r="E8" s="18">
        <f>IFERROR(IF(AND($M$9 &gt;= E7, $M$9 &lt;= EDATE(E7, $M$22), E7 &lt;&gt; $M$9),
        $M$9, IF( EDATE(E7, $M$22) &lt;= EDATE($M$9, $M$13 * $M$22), EDATE(E7, $M$22),  ""
        )
    ),
"")</f>
        <v>46327</v>
      </c>
      <c r="F8" s="12">
        <f t="shared" si="1"/>
        <v>7.9999999999999988E-2</v>
      </c>
      <c r="G8" s="13">
        <f t="shared" si="2"/>
        <v>400000</v>
      </c>
      <c r="H8" s="10"/>
      <c r="I8" s="14" t="s">
        <v>18</v>
      </c>
      <c r="J8" s="19">
        <f>F2-J7</f>
        <v>500000</v>
      </c>
      <c r="K8" s="10"/>
      <c r="L8" s="20" t="s">
        <v>19</v>
      </c>
      <c r="M8" s="16">
        <v>0.56999999999999995</v>
      </c>
      <c r="Q8" s="17"/>
    </row>
    <row r="9" spans="2:17" x14ac:dyDescent="0.2">
      <c r="D9" s="6" t="str">
        <f t="shared" si="0"/>
        <v>instalment</v>
      </c>
      <c r="E9" s="18">
        <f t="shared" ref="E9:E40" si="3">IFERROR(
    IF(
        AND($M$9 &gt;= E8, $M$9 &lt;= EDATE(E8, $M$22), E8 &lt;&gt; $M$9),
        $M$9,
        IF(
            EDATE(E8, $M$22) &lt;= EDATE($M$9, $M$13 * $M$22),
            EDATE(E8, $M$22),
            ""
        )
    ),
"")</f>
        <v>46508</v>
      </c>
      <c r="F9" s="12">
        <f t="shared" si="1"/>
        <v>7.9999999999999988E-2</v>
      </c>
      <c r="G9" s="13">
        <f t="shared" si="2"/>
        <v>400000</v>
      </c>
      <c r="H9" s="10"/>
      <c r="I9" s="19" t="s">
        <v>20</v>
      </c>
      <c r="J9" s="21">
        <f>SUM(J7:J8)</f>
        <v>5000000</v>
      </c>
      <c r="K9" s="10"/>
      <c r="L9" s="4" t="s">
        <v>21</v>
      </c>
      <c r="M9" s="22">
        <v>46813</v>
      </c>
      <c r="Q9" s="17"/>
    </row>
    <row r="10" spans="2:17" x14ac:dyDescent="0.2">
      <c r="D10" s="6" t="str">
        <f t="shared" si="0"/>
        <v>instalment</v>
      </c>
      <c r="E10" s="18">
        <f t="shared" si="3"/>
        <v>46692</v>
      </c>
      <c r="F10" s="12">
        <f t="shared" si="1"/>
        <v>7.9999999999999988E-2</v>
      </c>
      <c r="G10" s="13">
        <f t="shared" si="2"/>
        <v>400000</v>
      </c>
      <c r="H10" s="10"/>
      <c r="I10" s="19"/>
      <c r="J10" s="23" t="b">
        <f>J8=G6</f>
        <v>1</v>
      </c>
      <c r="K10" s="10"/>
      <c r="L10" s="1" t="s">
        <v>22</v>
      </c>
      <c r="M10" s="24">
        <f>M9-E6</f>
        <v>851</v>
      </c>
      <c r="Q10" s="17"/>
    </row>
    <row r="11" spans="2:17" x14ac:dyDescent="0.2">
      <c r="D11" s="6" t="str">
        <f t="shared" si="0"/>
        <v>Handover</v>
      </c>
      <c r="E11" s="18">
        <f t="shared" si="3"/>
        <v>46813</v>
      </c>
      <c r="F11" s="12">
        <f t="shared" si="1"/>
        <v>0.15</v>
      </c>
      <c r="G11" s="13">
        <f t="shared" si="2"/>
        <v>750000</v>
      </c>
      <c r="H11" s="10"/>
      <c r="I11" s="19"/>
      <c r="J11" s="10"/>
      <c r="K11" s="10"/>
      <c r="L11" s="1" t="s">
        <v>23</v>
      </c>
      <c r="M11" s="25">
        <f>IF(M21="Monthly", ROUNDDOWN(M10/(30 * $M$22), 0)-1, ROUNDDOWN(M10/(30 * $M$22), 0))</f>
        <v>4</v>
      </c>
      <c r="Q11" s="17"/>
    </row>
    <row r="12" spans="2:17" x14ac:dyDescent="0.2">
      <c r="D12" s="6" t="str">
        <f t="shared" si="0"/>
        <v>instalment</v>
      </c>
      <c r="E12" s="18">
        <f t="shared" si="3"/>
        <v>46997</v>
      </c>
      <c r="F12" s="12">
        <f t="shared" si="1"/>
        <v>5.3750000000000006E-2</v>
      </c>
      <c r="G12" s="13">
        <f t="shared" si="2"/>
        <v>268750</v>
      </c>
      <c r="H12" s="10"/>
      <c r="I12" s="10"/>
      <c r="J12" s="10"/>
      <c r="K12" s="10"/>
      <c r="L12" s="4" t="s">
        <v>24</v>
      </c>
      <c r="M12" s="26">
        <v>4</v>
      </c>
      <c r="Q12" s="17"/>
    </row>
    <row r="13" spans="2:17" x14ac:dyDescent="0.2">
      <c r="D13" s="6" t="str">
        <f t="shared" si="0"/>
        <v>instalment</v>
      </c>
      <c r="E13" s="18">
        <f t="shared" si="3"/>
        <v>47178</v>
      </c>
      <c r="F13" s="12">
        <f t="shared" si="1"/>
        <v>5.3750000000000006E-2</v>
      </c>
      <c r="G13" s="13">
        <f t="shared" si="2"/>
        <v>268750</v>
      </c>
      <c r="H13" s="10"/>
      <c r="I13" s="10"/>
      <c r="J13" s="10"/>
      <c r="K13" s="10"/>
      <c r="L13" s="1" t="s">
        <v>25</v>
      </c>
      <c r="M13" s="24">
        <f>M12 * (12 / $M$22)</f>
        <v>8</v>
      </c>
      <c r="Q13" s="17"/>
    </row>
    <row r="14" spans="2:17" x14ac:dyDescent="0.2">
      <c r="D14" s="6" t="str">
        <f t="shared" si="0"/>
        <v>instalment</v>
      </c>
      <c r="E14" s="18">
        <f t="shared" si="3"/>
        <v>47362</v>
      </c>
      <c r="F14" s="12">
        <f t="shared" si="1"/>
        <v>5.3750000000000006E-2</v>
      </c>
      <c r="G14" s="13">
        <f t="shared" si="2"/>
        <v>268750</v>
      </c>
      <c r="H14" s="10"/>
      <c r="I14" s="10"/>
      <c r="J14" s="10"/>
      <c r="K14" s="10"/>
      <c r="L14" s="27" t="s">
        <v>26</v>
      </c>
      <c r="M14" s="28">
        <f>(M8 - M7 - M6) / M11</f>
        <v>7.9999999999999988E-2</v>
      </c>
      <c r="Q14" s="17"/>
    </row>
    <row r="15" spans="2:17" x14ac:dyDescent="0.2">
      <c r="D15" s="6" t="str">
        <f t="shared" si="0"/>
        <v>instalment</v>
      </c>
      <c r="E15" s="18">
        <f t="shared" si="3"/>
        <v>47543</v>
      </c>
      <c r="F15" s="12">
        <f t="shared" si="1"/>
        <v>5.3750000000000006E-2</v>
      </c>
      <c r="G15" s="13">
        <f t="shared" si="2"/>
        <v>268750</v>
      </c>
      <c r="H15" s="10"/>
      <c r="I15" s="10"/>
      <c r="J15" s="10"/>
      <c r="K15" s="10"/>
      <c r="L15" s="29" t="s">
        <v>27</v>
      </c>
      <c r="M15" s="30">
        <f>(1 - M8 - SUM(M16:M20)) / (M13 - COUNTIF(M16:M20, "&gt;0"))</f>
        <v>5.3750000000000006E-2</v>
      </c>
      <c r="Q15" s="17"/>
    </row>
    <row r="16" spans="2:17" x14ac:dyDescent="0.2">
      <c r="D16" s="6" t="str">
        <f t="shared" si="0"/>
        <v>instalment</v>
      </c>
      <c r="E16" s="18">
        <f t="shared" si="3"/>
        <v>47727</v>
      </c>
      <c r="F16" s="12">
        <f t="shared" si="1"/>
        <v>5.3750000000000006E-2</v>
      </c>
      <c r="G16" s="13">
        <f t="shared" si="2"/>
        <v>268750</v>
      </c>
      <c r="H16" s="10"/>
      <c r="I16" s="10"/>
      <c r="J16" s="10"/>
      <c r="K16" s="10"/>
      <c r="L16" s="31">
        <v>47757</v>
      </c>
      <c r="M16" s="16">
        <v>0</v>
      </c>
      <c r="Q16" s="17"/>
    </row>
    <row r="17" spans="4:17" x14ac:dyDescent="0.2">
      <c r="D17" s="6" t="str">
        <f t="shared" si="0"/>
        <v>instalment</v>
      </c>
      <c r="E17" s="18">
        <f t="shared" si="3"/>
        <v>47908</v>
      </c>
      <c r="F17" s="12">
        <f t="shared" si="1"/>
        <v>5.3750000000000006E-2</v>
      </c>
      <c r="G17" s="13">
        <f t="shared" si="2"/>
        <v>268750</v>
      </c>
      <c r="H17" s="10"/>
      <c r="I17" s="10"/>
      <c r="J17" s="10"/>
      <c r="K17" s="10"/>
      <c r="L17" s="31">
        <v>47635</v>
      </c>
      <c r="M17" s="16">
        <v>0</v>
      </c>
      <c r="Q17" s="17"/>
    </row>
    <row r="18" spans="4:17" x14ac:dyDescent="0.2">
      <c r="D18" s="6" t="str">
        <f t="shared" si="0"/>
        <v>instalment</v>
      </c>
      <c r="E18" s="18">
        <f t="shared" si="3"/>
        <v>48092</v>
      </c>
      <c r="F18" s="12">
        <f t="shared" si="1"/>
        <v>5.3750000000000006E-2</v>
      </c>
      <c r="G18" s="13">
        <f t="shared" si="2"/>
        <v>268750</v>
      </c>
      <c r="H18" s="10"/>
      <c r="I18" s="10"/>
      <c r="J18" s="10"/>
      <c r="K18" s="10"/>
      <c r="L18" s="31">
        <v>47818</v>
      </c>
      <c r="M18" s="16">
        <v>0</v>
      </c>
      <c r="Q18" s="17"/>
    </row>
    <row r="19" spans="4:17" x14ac:dyDescent="0.2">
      <c r="D19" s="6" t="str">
        <f t="shared" si="0"/>
        <v>instalment</v>
      </c>
      <c r="E19" s="18">
        <f t="shared" si="3"/>
        <v>48274</v>
      </c>
      <c r="F19" s="12">
        <f t="shared" si="1"/>
        <v>5.3750000000000006E-2</v>
      </c>
      <c r="G19" s="13">
        <f t="shared" si="2"/>
        <v>268750</v>
      </c>
      <c r="H19" s="10"/>
      <c r="I19" s="10"/>
      <c r="J19" s="10"/>
      <c r="K19" s="10"/>
      <c r="L19" s="31">
        <v>48000</v>
      </c>
      <c r="M19" s="16">
        <v>0</v>
      </c>
      <c r="Q19" s="17"/>
    </row>
    <row r="20" spans="4:17" x14ac:dyDescent="0.2">
      <c r="D20" s="6" t="str">
        <f t="shared" si="0"/>
        <v>instalment</v>
      </c>
      <c r="E20" s="18" t="str">
        <f t="shared" si="3"/>
        <v/>
      </c>
      <c r="F20" s="12" t="str">
        <f t="shared" si="1"/>
        <v/>
      </c>
      <c r="G20" s="13" t="str">
        <f t="shared" si="2"/>
        <v/>
      </c>
      <c r="H20" s="10"/>
      <c r="I20" s="10"/>
      <c r="J20" s="10"/>
      <c r="K20" s="10"/>
      <c r="L20" s="31">
        <v>48183</v>
      </c>
      <c r="M20" s="16">
        <v>0</v>
      </c>
      <c r="Q20" s="17"/>
    </row>
    <row r="21" spans="4:17" x14ac:dyDescent="0.2">
      <c r="D21" s="6" t="str">
        <f t="shared" si="0"/>
        <v>instalment</v>
      </c>
      <c r="E21" s="18" t="str">
        <f t="shared" si="3"/>
        <v/>
      </c>
      <c r="F21" s="12" t="str">
        <f t="shared" si="1"/>
        <v/>
      </c>
      <c r="G21" s="13" t="str">
        <f t="shared" si="2"/>
        <v/>
      </c>
      <c r="H21" s="10"/>
      <c r="I21" s="10"/>
      <c r="J21" s="10"/>
      <c r="K21" s="10"/>
      <c r="L21" s="6" t="s">
        <v>9</v>
      </c>
      <c r="M21" s="6" t="str">
        <f>C2</f>
        <v>Semi Annual</v>
      </c>
      <c r="Q21" s="17"/>
    </row>
    <row r="22" spans="4:17" x14ac:dyDescent="0.2">
      <c r="D22" s="6" t="str">
        <f t="shared" si="0"/>
        <v>instalment</v>
      </c>
      <c r="E22" s="18" t="str">
        <f t="shared" si="3"/>
        <v/>
      </c>
      <c r="F22" s="12" t="str">
        <f t="shared" si="1"/>
        <v/>
      </c>
      <c r="G22" s="13" t="str">
        <f t="shared" si="2"/>
        <v/>
      </c>
      <c r="H22" s="10"/>
      <c r="I22" s="10"/>
      <c r="J22" s="10"/>
      <c r="K22" s="10"/>
      <c r="L22" s="6"/>
      <c r="M22" s="32">
        <f>CHOOSE(MATCH(M21, {"Annual","Semi Annual","Quarterly","Monthly"}, 0), 12, 6, 3, 1)</f>
        <v>6</v>
      </c>
      <c r="Q22" s="17"/>
    </row>
    <row r="23" spans="4:17" x14ac:dyDescent="0.2">
      <c r="D23" s="6" t="str">
        <f t="shared" si="0"/>
        <v>instalment</v>
      </c>
      <c r="E23" s="18" t="str">
        <f t="shared" si="3"/>
        <v/>
      </c>
      <c r="F23" s="12" t="str">
        <f t="shared" si="1"/>
        <v/>
      </c>
      <c r="G23" s="13" t="str">
        <f t="shared" si="2"/>
        <v/>
      </c>
      <c r="H23" s="10"/>
      <c r="I23" s="10"/>
      <c r="J23" s="10"/>
      <c r="K23" s="10"/>
      <c r="L23" s="10"/>
      <c r="Q23" s="17"/>
    </row>
    <row r="24" spans="4:17" x14ac:dyDescent="0.2">
      <c r="D24" s="6" t="str">
        <f t="shared" si="0"/>
        <v>instalment</v>
      </c>
      <c r="E24" s="18" t="str">
        <f t="shared" si="3"/>
        <v/>
      </c>
      <c r="F24" s="12" t="str">
        <f t="shared" si="1"/>
        <v/>
      </c>
      <c r="G24" s="13" t="str">
        <f t="shared" si="2"/>
        <v/>
      </c>
      <c r="H24" s="10"/>
      <c r="I24" s="10"/>
      <c r="J24" s="10"/>
      <c r="K24" s="10"/>
      <c r="L24" s="10"/>
      <c r="Q24" s="17"/>
    </row>
    <row r="25" spans="4:17" x14ac:dyDescent="0.2">
      <c r="D25" s="6" t="str">
        <f t="shared" si="0"/>
        <v>instalment</v>
      </c>
      <c r="E25" s="18" t="str">
        <f t="shared" si="3"/>
        <v/>
      </c>
      <c r="F25" s="12" t="str">
        <f t="shared" si="1"/>
        <v/>
      </c>
      <c r="G25" s="13" t="str">
        <f t="shared" si="2"/>
        <v/>
      </c>
      <c r="H25" s="10"/>
      <c r="I25" s="10"/>
      <c r="J25" s="10"/>
      <c r="K25" s="10"/>
      <c r="L25" s="10"/>
      <c r="M25" s="10"/>
      <c r="Q25" s="17"/>
    </row>
    <row r="26" spans="4:17" x14ac:dyDescent="0.2">
      <c r="D26" s="6" t="str">
        <f t="shared" si="0"/>
        <v>instalment</v>
      </c>
      <c r="E26" s="18" t="str">
        <f t="shared" si="3"/>
        <v/>
      </c>
      <c r="F26" s="12" t="str">
        <f t="shared" si="1"/>
        <v/>
      </c>
      <c r="G26" s="13" t="str">
        <f t="shared" si="2"/>
        <v/>
      </c>
      <c r="H26" s="10"/>
      <c r="I26" s="10"/>
      <c r="J26" s="10"/>
      <c r="K26" s="10"/>
      <c r="L26" s="10"/>
      <c r="M26" s="10"/>
      <c r="Q26" s="17"/>
    </row>
    <row r="27" spans="4:17" x14ac:dyDescent="0.2">
      <c r="D27" s="6" t="str">
        <f t="shared" si="0"/>
        <v>instalment</v>
      </c>
      <c r="E27" s="18" t="str">
        <f t="shared" si="3"/>
        <v/>
      </c>
      <c r="F27" s="12" t="str">
        <f t="shared" si="1"/>
        <v/>
      </c>
      <c r="G27" s="13" t="str">
        <f t="shared" si="2"/>
        <v/>
      </c>
      <c r="H27" s="10"/>
      <c r="I27" s="10"/>
      <c r="J27" s="10"/>
      <c r="K27" s="10"/>
      <c r="L27" s="10"/>
      <c r="M27" s="10"/>
      <c r="Q27" s="17"/>
    </row>
    <row r="28" spans="4:17" x14ac:dyDescent="0.2">
      <c r="D28" s="6" t="str">
        <f t="shared" si="0"/>
        <v>instalment</v>
      </c>
      <c r="E28" s="18" t="str">
        <f t="shared" si="3"/>
        <v/>
      </c>
      <c r="F28" s="12" t="str">
        <f t="shared" si="1"/>
        <v/>
      </c>
      <c r="G28" s="13" t="str">
        <f t="shared" si="2"/>
        <v/>
      </c>
      <c r="H28" s="10"/>
      <c r="I28" s="10"/>
      <c r="J28" s="10"/>
      <c r="K28" s="10"/>
      <c r="L28" s="10"/>
      <c r="M28" s="10"/>
      <c r="Q28" s="17"/>
    </row>
    <row r="29" spans="4:17" x14ac:dyDescent="0.2">
      <c r="D29" s="6" t="str">
        <f t="shared" si="0"/>
        <v>instalment</v>
      </c>
      <c r="E29" s="18" t="str">
        <f t="shared" si="3"/>
        <v/>
      </c>
      <c r="F29" s="12" t="str">
        <f t="shared" si="1"/>
        <v/>
      </c>
      <c r="G29" s="13" t="str">
        <f t="shared" si="2"/>
        <v/>
      </c>
      <c r="H29" s="10"/>
      <c r="I29" s="10"/>
      <c r="J29" s="10"/>
      <c r="K29" s="10"/>
      <c r="L29" s="10"/>
      <c r="M29" s="10"/>
      <c r="Q29" s="17"/>
    </row>
    <row r="30" spans="4:17" x14ac:dyDescent="0.2">
      <c r="D30" s="6" t="str">
        <f t="shared" si="0"/>
        <v>instalment</v>
      </c>
      <c r="E30" s="18" t="str">
        <f t="shared" si="3"/>
        <v/>
      </c>
      <c r="F30" s="12" t="str">
        <f t="shared" si="1"/>
        <v/>
      </c>
      <c r="G30" s="13" t="str">
        <f t="shared" si="2"/>
        <v/>
      </c>
      <c r="H30" s="10"/>
      <c r="I30" s="10"/>
      <c r="J30" s="10"/>
      <c r="K30" s="10"/>
      <c r="L30" s="10"/>
      <c r="M30" s="10"/>
      <c r="Q30" s="17"/>
    </row>
    <row r="31" spans="4:17" x14ac:dyDescent="0.2">
      <c r="D31" s="6" t="str">
        <f t="shared" si="0"/>
        <v>instalment</v>
      </c>
      <c r="E31" s="18" t="str">
        <f t="shared" si="3"/>
        <v/>
      </c>
      <c r="F31" s="12" t="str">
        <f t="shared" si="1"/>
        <v/>
      </c>
      <c r="G31" s="13" t="str">
        <f t="shared" si="2"/>
        <v/>
      </c>
      <c r="H31" s="10"/>
      <c r="I31" s="10"/>
      <c r="J31" s="10"/>
      <c r="K31" s="10"/>
      <c r="L31" s="10"/>
      <c r="M31" s="10"/>
      <c r="Q31" s="17"/>
    </row>
    <row r="32" spans="4:17" x14ac:dyDescent="0.2">
      <c r="D32" s="6" t="str">
        <f t="shared" si="0"/>
        <v>instalment</v>
      </c>
      <c r="E32" s="18" t="str">
        <f t="shared" si="3"/>
        <v/>
      </c>
      <c r="F32" s="12" t="str">
        <f t="shared" si="1"/>
        <v/>
      </c>
      <c r="G32" s="13" t="str">
        <f t="shared" si="2"/>
        <v/>
      </c>
      <c r="H32" s="10"/>
      <c r="I32" s="10"/>
      <c r="J32" s="10"/>
      <c r="K32" s="10"/>
      <c r="L32" s="10"/>
      <c r="M32" s="10"/>
      <c r="Q32" s="17"/>
    </row>
    <row r="33" spans="4:17" x14ac:dyDescent="0.2">
      <c r="D33" s="6" t="str">
        <f t="shared" si="0"/>
        <v>instalment</v>
      </c>
      <c r="E33" s="18" t="str">
        <f t="shared" si="3"/>
        <v/>
      </c>
      <c r="F33" s="12" t="str">
        <f t="shared" si="1"/>
        <v/>
      </c>
      <c r="G33" s="13" t="str">
        <f t="shared" si="2"/>
        <v/>
      </c>
      <c r="H33" s="10"/>
      <c r="I33" s="10"/>
      <c r="J33" s="10"/>
      <c r="K33" s="10"/>
      <c r="L33" s="10"/>
      <c r="M33" s="10"/>
      <c r="Q33" s="17"/>
    </row>
    <row r="34" spans="4:17" x14ac:dyDescent="0.2">
      <c r="D34" s="6" t="str">
        <f t="shared" si="0"/>
        <v>instalment</v>
      </c>
      <c r="E34" s="18" t="str">
        <f t="shared" si="3"/>
        <v/>
      </c>
      <c r="F34" s="12" t="str">
        <f t="shared" si="1"/>
        <v/>
      </c>
      <c r="G34" s="13" t="str">
        <f t="shared" si="2"/>
        <v/>
      </c>
      <c r="H34" s="10"/>
      <c r="I34" s="10"/>
      <c r="J34" s="10"/>
      <c r="K34" s="10"/>
      <c r="L34" s="10"/>
      <c r="M34" s="10"/>
      <c r="Q34" s="33"/>
    </row>
    <row r="35" spans="4:17" x14ac:dyDescent="0.2">
      <c r="D35" s="6" t="str">
        <f t="shared" si="0"/>
        <v>instalment</v>
      </c>
      <c r="E35" s="18" t="str">
        <f t="shared" si="3"/>
        <v/>
      </c>
      <c r="F35" s="12" t="str">
        <f t="shared" si="1"/>
        <v/>
      </c>
      <c r="G35" s="13" t="str">
        <f t="shared" si="2"/>
        <v/>
      </c>
      <c r="H35" s="10"/>
      <c r="I35" s="10"/>
      <c r="J35" s="10"/>
      <c r="K35" s="10"/>
      <c r="L35" s="10"/>
      <c r="M35" s="10"/>
      <c r="Q35" s="17"/>
    </row>
    <row r="36" spans="4:17" x14ac:dyDescent="0.2">
      <c r="D36" s="6" t="str">
        <f t="shared" si="0"/>
        <v>instalment</v>
      </c>
      <c r="E36" s="18" t="str">
        <f t="shared" si="3"/>
        <v/>
      </c>
      <c r="F36" s="12" t="str">
        <f t="shared" si="1"/>
        <v/>
      </c>
      <c r="G36" s="13" t="str">
        <f t="shared" si="2"/>
        <v/>
      </c>
      <c r="H36" s="10"/>
      <c r="I36" s="10"/>
      <c r="J36" s="10"/>
      <c r="K36" s="10"/>
      <c r="L36" s="10"/>
      <c r="M36" s="10"/>
      <c r="Q36" s="17"/>
    </row>
    <row r="37" spans="4:17" x14ac:dyDescent="0.2">
      <c r="D37" s="6" t="str">
        <f t="shared" si="0"/>
        <v>instalment</v>
      </c>
      <c r="E37" s="18" t="str">
        <f t="shared" si="3"/>
        <v/>
      </c>
      <c r="F37" s="12" t="str">
        <f t="shared" si="1"/>
        <v/>
      </c>
      <c r="G37" s="13" t="str">
        <f t="shared" si="2"/>
        <v/>
      </c>
      <c r="H37" s="10"/>
      <c r="I37" s="10"/>
      <c r="J37" s="10"/>
      <c r="K37" s="10"/>
      <c r="L37" s="10"/>
      <c r="M37" s="10"/>
      <c r="Q37" s="17"/>
    </row>
    <row r="38" spans="4:17" x14ac:dyDescent="0.2">
      <c r="D38" s="6" t="str">
        <f t="shared" ref="D38:D69" si="4">IF(F38=$M$6,$L$6,IF(F38=$M$7,$L$7,"instalment"))</f>
        <v>instalment</v>
      </c>
      <c r="E38" s="18" t="str">
        <f t="shared" si="3"/>
        <v/>
      </c>
      <c r="F38" s="12" t="str">
        <f t="shared" si="1"/>
        <v/>
      </c>
      <c r="G38" s="13" t="str">
        <f t="shared" si="2"/>
        <v/>
      </c>
      <c r="H38" s="10"/>
      <c r="I38" s="10"/>
      <c r="J38" s="10"/>
      <c r="K38" s="10"/>
      <c r="L38" s="10"/>
      <c r="M38" s="10"/>
      <c r="Q38" s="17"/>
    </row>
    <row r="39" spans="4:17" x14ac:dyDescent="0.2">
      <c r="D39" s="6" t="str">
        <f t="shared" si="4"/>
        <v>instalment</v>
      </c>
      <c r="E39" s="18" t="str">
        <f t="shared" si="3"/>
        <v/>
      </c>
      <c r="F39" s="12" t="str">
        <f t="shared" ref="F39:F70" si="5">IF(IFERROR(IF(INDEX($M$16:$M$20,MATCH(E39,$L$16:$L$20,0))=0,IF(E39&lt;$M$9,$M$14,IF(E39=$M$9,$M$7,IF(E39="",0,$M$15))),INDEX($M$16:$M$20,MATCH(E39,$L$16:$L$20,0))),IF(E39&lt;$M$9,$M$14,IF(E39=$M$9,$M$7,IF(E39="",0,$M$15))))=0,"",IFERROR(IF(INDEX($M$16:$M$20,MATCH(E39,$L$16:$L$20,0))=0,IF(E39&lt;$M$9,$M$14,IF(E39=$M$9,$M$7,IF(E39="",0,$M$15))),INDEX($M$16:$M$20,MATCH(E39,$L$16:$L$20,0))),IF(E39&lt;$M$9,$M$14,IF(E39=$M$9,$M$7,IF(E39="",0,$M$15)))))</f>
        <v/>
      </c>
      <c r="G39" s="13" t="str">
        <f t="shared" ref="G39:G70" si="6">+IFERROR(ROUNDUP(F39*$F$2,-0.5), "")</f>
        <v/>
      </c>
      <c r="H39" s="10"/>
      <c r="I39" s="10"/>
      <c r="J39" s="10"/>
      <c r="K39" s="10"/>
      <c r="L39" s="10"/>
      <c r="M39" s="10"/>
      <c r="Q39" s="17"/>
    </row>
    <row r="40" spans="4:17" x14ac:dyDescent="0.2">
      <c r="D40" s="6" t="str">
        <f t="shared" si="4"/>
        <v>instalment</v>
      </c>
      <c r="E40" s="18" t="str">
        <f t="shared" si="3"/>
        <v/>
      </c>
      <c r="F40" s="12" t="str">
        <f t="shared" si="5"/>
        <v/>
      </c>
      <c r="G40" s="13" t="str">
        <f t="shared" si="6"/>
        <v/>
      </c>
      <c r="H40" s="10"/>
      <c r="I40" s="10"/>
      <c r="J40" s="10"/>
      <c r="K40" s="10"/>
      <c r="L40" s="10"/>
      <c r="M40" s="10"/>
      <c r="Q40" s="17"/>
    </row>
    <row r="41" spans="4:17" x14ac:dyDescent="0.2">
      <c r="D41" s="6" t="str">
        <f t="shared" si="4"/>
        <v>instalment</v>
      </c>
      <c r="E41" s="18" t="str">
        <f t="shared" ref="E41:E72" si="7">IFERROR(
    IF(
        AND($M$9 &gt;= E40, $M$9 &lt;= EDATE(E40, $M$22), E40 &lt;&gt; $M$9),
        $M$9,
        IF(
            EDATE(E40, $M$22) &lt;= EDATE($M$9, $M$13 * $M$22),
            EDATE(E40, $M$22),
            ""
        )
    ),
"")</f>
        <v/>
      </c>
      <c r="F41" s="12" t="str">
        <f t="shared" si="5"/>
        <v/>
      </c>
      <c r="G41" s="13" t="str">
        <f t="shared" si="6"/>
        <v/>
      </c>
      <c r="H41" s="10"/>
      <c r="I41" s="10"/>
      <c r="J41" s="10"/>
      <c r="K41" s="10"/>
      <c r="L41" s="10"/>
      <c r="M41" s="10"/>
      <c r="Q41" s="17"/>
    </row>
    <row r="42" spans="4:17" x14ac:dyDescent="0.2">
      <c r="D42" s="6" t="str">
        <f t="shared" si="4"/>
        <v>instalment</v>
      </c>
      <c r="E42" s="18" t="str">
        <f t="shared" si="7"/>
        <v/>
      </c>
      <c r="F42" s="12" t="str">
        <f t="shared" si="5"/>
        <v/>
      </c>
      <c r="G42" s="13" t="str">
        <f t="shared" si="6"/>
        <v/>
      </c>
      <c r="H42" s="10"/>
      <c r="I42" s="10"/>
      <c r="J42" s="10"/>
      <c r="K42" s="10"/>
      <c r="L42" s="10"/>
      <c r="M42" s="10"/>
      <c r="Q42" s="17"/>
    </row>
    <row r="43" spans="4:17" x14ac:dyDescent="0.2">
      <c r="D43" s="6" t="str">
        <f t="shared" si="4"/>
        <v>instalment</v>
      </c>
      <c r="E43" s="18" t="str">
        <f t="shared" si="7"/>
        <v/>
      </c>
      <c r="F43" s="12" t="str">
        <f t="shared" si="5"/>
        <v/>
      </c>
      <c r="G43" s="13" t="str">
        <f t="shared" si="6"/>
        <v/>
      </c>
      <c r="H43" s="10"/>
      <c r="I43" s="10"/>
      <c r="J43" s="10"/>
      <c r="K43" s="10"/>
      <c r="L43" s="10"/>
      <c r="M43" s="10"/>
      <c r="Q43" s="17"/>
    </row>
    <row r="44" spans="4:17" x14ac:dyDescent="0.2">
      <c r="D44" s="6" t="str">
        <f t="shared" si="4"/>
        <v>instalment</v>
      </c>
      <c r="E44" s="18" t="str">
        <f t="shared" si="7"/>
        <v/>
      </c>
      <c r="F44" s="12" t="str">
        <f t="shared" si="5"/>
        <v/>
      </c>
      <c r="G44" s="13" t="str">
        <f t="shared" si="6"/>
        <v/>
      </c>
      <c r="H44" s="10"/>
      <c r="I44" s="10"/>
      <c r="J44" s="10"/>
      <c r="K44" s="10"/>
      <c r="L44" s="10"/>
      <c r="M44" s="10"/>
      <c r="Q44" s="17"/>
    </row>
    <row r="45" spans="4:17" x14ac:dyDescent="0.2">
      <c r="D45" s="6" t="str">
        <f t="shared" si="4"/>
        <v>instalment</v>
      </c>
      <c r="E45" s="18" t="str">
        <f t="shared" si="7"/>
        <v/>
      </c>
      <c r="F45" s="12" t="str">
        <f t="shared" si="5"/>
        <v/>
      </c>
      <c r="G45" s="13" t="str">
        <f t="shared" si="6"/>
        <v/>
      </c>
      <c r="H45" s="10"/>
      <c r="I45" s="10"/>
      <c r="J45" s="10"/>
      <c r="K45" s="10"/>
      <c r="L45" s="10"/>
      <c r="M45" s="10"/>
      <c r="Q45" s="17"/>
    </row>
    <row r="46" spans="4:17" x14ac:dyDescent="0.2">
      <c r="D46" s="6" t="str">
        <f t="shared" si="4"/>
        <v>instalment</v>
      </c>
      <c r="E46" s="18" t="str">
        <f t="shared" si="7"/>
        <v/>
      </c>
      <c r="F46" s="12" t="str">
        <f t="shared" si="5"/>
        <v/>
      </c>
      <c r="G46" s="13" t="str">
        <f t="shared" si="6"/>
        <v/>
      </c>
      <c r="H46" s="10"/>
      <c r="I46" s="10"/>
      <c r="J46" s="10"/>
      <c r="K46" s="10"/>
      <c r="L46" s="10"/>
      <c r="M46" s="10"/>
      <c r="Q46" s="17"/>
    </row>
    <row r="47" spans="4:17" x14ac:dyDescent="0.2">
      <c r="D47" s="6" t="str">
        <f t="shared" si="4"/>
        <v>instalment</v>
      </c>
      <c r="E47" s="18" t="str">
        <f t="shared" si="7"/>
        <v/>
      </c>
      <c r="F47" s="12" t="str">
        <f t="shared" si="5"/>
        <v/>
      </c>
      <c r="G47" s="13" t="str">
        <f t="shared" si="6"/>
        <v/>
      </c>
      <c r="H47" s="10"/>
      <c r="I47" s="10"/>
      <c r="J47" s="34"/>
      <c r="K47" s="34"/>
      <c r="L47" s="10"/>
      <c r="M47" s="10"/>
      <c r="Q47" s="17"/>
    </row>
    <row r="48" spans="4:17" x14ac:dyDescent="0.2">
      <c r="D48" s="6" t="str">
        <f t="shared" si="4"/>
        <v>instalment</v>
      </c>
      <c r="E48" s="18" t="str">
        <f t="shared" si="7"/>
        <v/>
      </c>
      <c r="F48" s="12" t="str">
        <f t="shared" si="5"/>
        <v/>
      </c>
      <c r="G48" s="13" t="str">
        <f t="shared" si="6"/>
        <v/>
      </c>
      <c r="H48" s="10"/>
      <c r="I48" s="10"/>
      <c r="J48" s="10"/>
      <c r="K48" s="10"/>
      <c r="L48" s="10"/>
      <c r="M48" s="10"/>
      <c r="Q48" s="17"/>
    </row>
    <row r="49" spans="4:17" x14ac:dyDescent="0.2">
      <c r="D49" s="6" t="str">
        <f t="shared" si="4"/>
        <v>instalment</v>
      </c>
      <c r="E49" s="18" t="str">
        <f t="shared" si="7"/>
        <v/>
      </c>
      <c r="F49" s="12" t="str">
        <f t="shared" si="5"/>
        <v/>
      </c>
      <c r="G49" s="13" t="str">
        <f t="shared" si="6"/>
        <v/>
      </c>
      <c r="H49" s="10"/>
      <c r="I49" s="10"/>
      <c r="J49" s="10"/>
      <c r="K49" s="10"/>
      <c r="L49" s="10"/>
      <c r="M49" s="10"/>
      <c r="Q49" s="17"/>
    </row>
    <row r="50" spans="4:17" x14ac:dyDescent="0.2">
      <c r="D50" s="6" t="str">
        <f t="shared" si="4"/>
        <v>instalment</v>
      </c>
      <c r="E50" s="18" t="str">
        <f t="shared" si="7"/>
        <v/>
      </c>
      <c r="F50" s="12" t="str">
        <f t="shared" si="5"/>
        <v/>
      </c>
      <c r="G50" s="13" t="str">
        <f t="shared" si="6"/>
        <v/>
      </c>
      <c r="H50" s="10"/>
      <c r="I50" s="10"/>
      <c r="J50" s="10"/>
      <c r="K50" s="10"/>
      <c r="L50" s="10"/>
      <c r="M50" s="10"/>
      <c r="Q50" s="17"/>
    </row>
    <row r="51" spans="4:17" x14ac:dyDescent="0.2">
      <c r="D51" s="6" t="str">
        <f t="shared" si="4"/>
        <v>instalment</v>
      </c>
      <c r="E51" s="18" t="str">
        <f t="shared" si="7"/>
        <v/>
      </c>
      <c r="F51" s="12" t="str">
        <f t="shared" si="5"/>
        <v/>
      </c>
      <c r="G51" s="13" t="str">
        <f t="shared" si="6"/>
        <v/>
      </c>
      <c r="H51" s="10"/>
      <c r="I51" s="10"/>
      <c r="J51" s="10"/>
      <c r="K51" s="10"/>
      <c r="L51" s="10"/>
      <c r="M51" s="10"/>
      <c r="Q51" s="17"/>
    </row>
    <row r="52" spans="4:17" x14ac:dyDescent="0.2">
      <c r="D52" s="6" t="str">
        <f t="shared" si="4"/>
        <v>instalment</v>
      </c>
      <c r="E52" s="18" t="str">
        <f t="shared" si="7"/>
        <v/>
      </c>
      <c r="F52" s="12" t="str">
        <f t="shared" si="5"/>
        <v/>
      </c>
      <c r="G52" s="13" t="str">
        <f t="shared" si="6"/>
        <v/>
      </c>
      <c r="H52" s="10"/>
      <c r="I52" s="10"/>
      <c r="J52" s="10"/>
      <c r="K52" s="10"/>
      <c r="L52" s="10"/>
      <c r="M52" s="10"/>
      <c r="Q52" s="17"/>
    </row>
    <row r="53" spans="4:17" x14ac:dyDescent="0.2">
      <c r="D53" s="6" t="str">
        <f t="shared" si="4"/>
        <v>instalment</v>
      </c>
      <c r="E53" s="18" t="str">
        <f t="shared" si="7"/>
        <v/>
      </c>
      <c r="F53" s="12" t="str">
        <f t="shared" si="5"/>
        <v/>
      </c>
      <c r="G53" s="13" t="str">
        <f t="shared" si="6"/>
        <v/>
      </c>
      <c r="H53" s="10"/>
      <c r="I53" s="10"/>
      <c r="J53" s="10"/>
      <c r="K53" s="10"/>
      <c r="L53" s="10"/>
      <c r="M53" s="10"/>
      <c r="Q53" s="17"/>
    </row>
    <row r="54" spans="4:17" x14ac:dyDescent="0.2">
      <c r="D54" s="6" t="str">
        <f t="shared" si="4"/>
        <v>instalment</v>
      </c>
      <c r="E54" s="18" t="str">
        <f t="shared" si="7"/>
        <v/>
      </c>
      <c r="F54" s="12" t="str">
        <f t="shared" si="5"/>
        <v/>
      </c>
      <c r="G54" s="13" t="str">
        <f t="shared" si="6"/>
        <v/>
      </c>
      <c r="H54" s="10"/>
      <c r="I54" s="10"/>
      <c r="J54" s="10"/>
      <c r="K54" s="10"/>
      <c r="L54" s="10"/>
      <c r="M54" s="10"/>
      <c r="Q54" s="17"/>
    </row>
    <row r="55" spans="4:17" x14ac:dyDescent="0.2">
      <c r="D55" s="6" t="str">
        <f t="shared" si="4"/>
        <v>instalment</v>
      </c>
      <c r="E55" s="18" t="str">
        <f t="shared" si="7"/>
        <v/>
      </c>
      <c r="F55" s="12" t="str">
        <f t="shared" si="5"/>
        <v/>
      </c>
      <c r="G55" s="13" t="str">
        <f t="shared" si="6"/>
        <v/>
      </c>
      <c r="H55" s="10"/>
      <c r="I55" s="10"/>
      <c r="J55" s="10"/>
      <c r="K55" s="10"/>
      <c r="L55" s="10"/>
      <c r="M55" s="10"/>
      <c r="Q55" s="17"/>
    </row>
    <row r="56" spans="4:17" x14ac:dyDescent="0.2">
      <c r="D56" s="6" t="str">
        <f t="shared" si="4"/>
        <v>instalment</v>
      </c>
      <c r="E56" s="18" t="str">
        <f t="shared" si="7"/>
        <v/>
      </c>
      <c r="F56" s="12" t="str">
        <f t="shared" si="5"/>
        <v/>
      </c>
      <c r="G56" s="13" t="str">
        <f t="shared" si="6"/>
        <v/>
      </c>
      <c r="H56" s="10"/>
      <c r="I56" s="10"/>
      <c r="J56" s="10"/>
      <c r="K56" s="10"/>
      <c r="L56" s="10"/>
      <c r="M56" s="10"/>
      <c r="Q56" s="17"/>
    </row>
    <row r="57" spans="4:17" x14ac:dyDescent="0.2">
      <c r="D57" s="6" t="str">
        <f t="shared" si="4"/>
        <v>instalment</v>
      </c>
      <c r="E57" s="18" t="str">
        <f t="shared" si="7"/>
        <v/>
      </c>
      <c r="F57" s="12" t="str">
        <f t="shared" si="5"/>
        <v/>
      </c>
      <c r="G57" s="13" t="str">
        <f t="shared" si="6"/>
        <v/>
      </c>
      <c r="H57" s="10"/>
      <c r="I57" s="10"/>
      <c r="J57" s="10"/>
      <c r="K57" s="10"/>
      <c r="L57" s="10"/>
      <c r="M57" s="10"/>
      <c r="Q57" s="17"/>
    </row>
    <row r="58" spans="4:17" x14ac:dyDescent="0.2">
      <c r="D58" s="6" t="str">
        <f t="shared" si="4"/>
        <v>instalment</v>
      </c>
      <c r="E58" s="18" t="str">
        <f t="shared" si="7"/>
        <v/>
      </c>
      <c r="F58" s="12" t="str">
        <f t="shared" si="5"/>
        <v/>
      </c>
      <c r="G58" s="13" t="str">
        <f t="shared" si="6"/>
        <v/>
      </c>
      <c r="H58" s="10"/>
      <c r="I58" s="10"/>
      <c r="J58" s="10"/>
      <c r="K58" s="10"/>
      <c r="L58" s="10"/>
      <c r="M58" s="10"/>
      <c r="Q58" s="17"/>
    </row>
    <row r="59" spans="4:17" x14ac:dyDescent="0.2">
      <c r="D59" s="6" t="str">
        <f t="shared" si="4"/>
        <v>instalment</v>
      </c>
      <c r="E59" s="18" t="str">
        <f t="shared" si="7"/>
        <v/>
      </c>
      <c r="F59" s="12" t="str">
        <f t="shared" si="5"/>
        <v/>
      </c>
      <c r="G59" s="13" t="str">
        <f t="shared" si="6"/>
        <v/>
      </c>
      <c r="H59" s="10"/>
      <c r="I59" s="10"/>
      <c r="J59" s="10"/>
      <c r="K59" s="10"/>
      <c r="L59" s="10"/>
      <c r="M59" s="10"/>
      <c r="Q59" s="17"/>
    </row>
    <row r="60" spans="4:17" x14ac:dyDescent="0.2">
      <c r="D60" s="6" t="str">
        <f t="shared" si="4"/>
        <v>instalment</v>
      </c>
      <c r="E60" s="18" t="str">
        <f t="shared" si="7"/>
        <v/>
      </c>
      <c r="F60" s="12" t="str">
        <f t="shared" si="5"/>
        <v/>
      </c>
      <c r="G60" s="13" t="str">
        <f t="shared" si="6"/>
        <v/>
      </c>
      <c r="H60" s="10"/>
      <c r="I60" s="10"/>
      <c r="J60" s="10"/>
      <c r="K60" s="10"/>
      <c r="L60" s="10"/>
      <c r="M60" s="10"/>
      <c r="Q60" s="17"/>
    </row>
    <row r="61" spans="4:17" x14ac:dyDescent="0.2">
      <c r="D61" s="6" t="str">
        <f t="shared" si="4"/>
        <v>instalment</v>
      </c>
      <c r="E61" s="18" t="str">
        <f t="shared" si="7"/>
        <v/>
      </c>
      <c r="F61" s="12" t="str">
        <f t="shared" si="5"/>
        <v/>
      </c>
      <c r="G61" s="13" t="str">
        <f t="shared" si="6"/>
        <v/>
      </c>
      <c r="H61" s="10"/>
      <c r="I61" s="10"/>
      <c r="J61" s="10"/>
      <c r="K61" s="10"/>
      <c r="L61" s="10"/>
      <c r="M61" s="10"/>
      <c r="Q61" s="17"/>
    </row>
    <row r="62" spans="4:17" x14ac:dyDescent="0.2">
      <c r="D62" s="6" t="str">
        <f t="shared" si="4"/>
        <v>instalment</v>
      </c>
      <c r="E62" s="18" t="str">
        <f t="shared" si="7"/>
        <v/>
      </c>
      <c r="F62" s="12" t="str">
        <f t="shared" si="5"/>
        <v/>
      </c>
      <c r="G62" s="13" t="str">
        <f t="shared" si="6"/>
        <v/>
      </c>
      <c r="H62" s="10"/>
      <c r="I62" s="10"/>
      <c r="J62" s="10"/>
      <c r="K62" s="10"/>
      <c r="L62" s="10"/>
      <c r="M62" s="10"/>
      <c r="Q62" s="17"/>
    </row>
    <row r="63" spans="4:17" x14ac:dyDescent="0.2">
      <c r="D63" s="6" t="str">
        <f t="shared" si="4"/>
        <v>instalment</v>
      </c>
      <c r="E63" s="18" t="str">
        <f t="shared" si="7"/>
        <v/>
      </c>
      <c r="F63" s="12" t="str">
        <f t="shared" si="5"/>
        <v/>
      </c>
      <c r="G63" s="13" t="str">
        <f t="shared" si="6"/>
        <v/>
      </c>
      <c r="H63" s="10"/>
      <c r="I63" s="10"/>
      <c r="J63" s="10"/>
      <c r="K63" s="10"/>
      <c r="L63" s="10"/>
      <c r="M63" s="10"/>
      <c r="Q63" s="17"/>
    </row>
    <row r="64" spans="4:17" x14ac:dyDescent="0.2">
      <c r="D64" s="6" t="str">
        <f t="shared" si="4"/>
        <v>instalment</v>
      </c>
      <c r="E64" s="18" t="str">
        <f t="shared" si="7"/>
        <v/>
      </c>
      <c r="F64" s="12" t="str">
        <f t="shared" si="5"/>
        <v/>
      </c>
      <c r="G64" s="13" t="str">
        <f t="shared" si="6"/>
        <v/>
      </c>
      <c r="H64" s="10"/>
      <c r="I64" s="10"/>
      <c r="J64" s="10"/>
      <c r="K64" s="10"/>
      <c r="L64" s="10"/>
      <c r="M64" s="10"/>
      <c r="Q64" s="17"/>
    </row>
    <row r="65" spans="4:17" x14ac:dyDescent="0.2">
      <c r="D65" s="6" t="str">
        <f t="shared" si="4"/>
        <v>instalment</v>
      </c>
      <c r="E65" s="18" t="str">
        <f t="shared" si="7"/>
        <v/>
      </c>
      <c r="F65" s="12" t="str">
        <f t="shared" si="5"/>
        <v/>
      </c>
      <c r="G65" s="13" t="str">
        <f t="shared" si="6"/>
        <v/>
      </c>
      <c r="H65" s="10"/>
      <c r="I65" s="10"/>
      <c r="J65" s="10"/>
      <c r="K65" s="10"/>
      <c r="L65" s="10"/>
      <c r="M65" s="10"/>
      <c r="Q65" s="17"/>
    </row>
    <row r="66" spans="4:17" x14ac:dyDescent="0.2">
      <c r="D66" s="6" t="str">
        <f t="shared" si="4"/>
        <v>instalment</v>
      </c>
      <c r="E66" s="18" t="str">
        <f t="shared" si="7"/>
        <v/>
      </c>
      <c r="F66" s="12" t="str">
        <f t="shared" si="5"/>
        <v/>
      </c>
      <c r="G66" s="13" t="str">
        <f t="shared" si="6"/>
        <v/>
      </c>
      <c r="H66" s="10"/>
      <c r="I66" s="10"/>
      <c r="J66" s="10"/>
      <c r="K66" s="10"/>
      <c r="L66" s="10"/>
      <c r="M66" s="10"/>
      <c r="Q66" s="17"/>
    </row>
    <row r="67" spans="4:17" x14ac:dyDescent="0.2">
      <c r="D67" s="6" t="str">
        <f t="shared" si="4"/>
        <v>instalment</v>
      </c>
      <c r="E67" s="18" t="str">
        <f t="shared" si="7"/>
        <v/>
      </c>
      <c r="F67" s="12" t="str">
        <f t="shared" si="5"/>
        <v/>
      </c>
      <c r="G67" s="13" t="str">
        <f t="shared" si="6"/>
        <v/>
      </c>
      <c r="H67" s="10"/>
      <c r="I67" s="10"/>
      <c r="J67" s="10"/>
      <c r="K67" s="10"/>
      <c r="L67" s="10"/>
      <c r="M67" s="10"/>
      <c r="Q67" s="17"/>
    </row>
    <row r="68" spans="4:17" x14ac:dyDescent="0.2">
      <c r="D68" s="6" t="str">
        <f t="shared" si="4"/>
        <v>instalment</v>
      </c>
      <c r="E68" s="18" t="str">
        <f t="shared" si="7"/>
        <v/>
      </c>
      <c r="F68" s="12" t="str">
        <f t="shared" si="5"/>
        <v/>
      </c>
      <c r="G68" s="13" t="str">
        <f t="shared" si="6"/>
        <v/>
      </c>
      <c r="H68" s="10"/>
      <c r="I68" s="10"/>
      <c r="J68" s="10"/>
      <c r="K68" s="10"/>
      <c r="L68" s="10"/>
      <c r="M68" s="10"/>
      <c r="Q68" s="17"/>
    </row>
    <row r="69" spans="4:17" x14ac:dyDescent="0.2">
      <c r="D69" s="6" t="str">
        <f t="shared" si="4"/>
        <v>instalment</v>
      </c>
      <c r="E69" s="18" t="str">
        <f t="shared" si="7"/>
        <v/>
      </c>
      <c r="F69" s="12" t="str">
        <f t="shared" si="5"/>
        <v/>
      </c>
      <c r="G69" s="13" t="str">
        <f t="shared" si="6"/>
        <v/>
      </c>
      <c r="H69" s="10"/>
      <c r="I69" s="10"/>
      <c r="J69" s="10"/>
      <c r="K69" s="10"/>
      <c r="L69" s="10"/>
      <c r="M69" s="10"/>
      <c r="Q69" s="17"/>
    </row>
    <row r="70" spans="4:17" x14ac:dyDescent="0.2">
      <c r="D70" s="6" t="str">
        <f t="shared" ref="D70:D102" si="8">IF(F70=$M$6,$L$6,IF(F70=$M$7,$L$7,"instalment"))</f>
        <v>instalment</v>
      </c>
      <c r="E70" s="18" t="str">
        <f t="shared" si="7"/>
        <v/>
      </c>
      <c r="F70" s="12" t="str">
        <f t="shared" si="5"/>
        <v/>
      </c>
      <c r="G70" s="13" t="str">
        <f t="shared" si="6"/>
        <v/>
      </c>
      <c r="H70" s="10"/>
      <c r="I70" s="10"/>
      <c r="J70" s="10"/>
      <c r="K70" s="10"/>
      <c r="L70" s="10"/>
      <c r="M70" s="10"/>
      <c r="Q70" s="17"/>
    </row>
    <row r="71" spans="4:17" x14ac:dyDescent="0.2">
      <c r="D71" s="6" t="str">
        <f t="shared" si="8"/>
        <v>instalment</v>
      </c>
      <c r="E71" s="18" t="str">
        <f t="shared" si="7"/>
        <v/>
      </c>
      <c r="F71" s="12" t="str">
        <f t="shared" ref="F71:F102" si="9">IF(IFERROR(IF(INDEX($M$16:$M$20,MATCH(E71,$L$16:$L$20,0))=0,IF(E71&lt;$M$9,$M$14,IF(E71=$M$9,$M$7,IF(E71="",0,$M$15))),INDEX($M$16:$M$20,MATCH(E71,$L$16:$L$20,0))),IF(E71&lt;$M$9,$M$14,IF(E71=$M$9,$M$7,IF(E71="",0,$M$15))))=0,"",IFERROR(IF(INDEX($M$16:$M$20,MATCH(E71,$L$16:$L$20,0))=0,IF(E71&lt;$M$9,$M$14,IF(E71=$M$9,$M$7,IF(E71="",0,$M$15))),INDEX($M$16:$M$20,MATCH(E71,$L$16:$L$20,0))),IF(E71&lt;$M$9,$M$14,IF(E71=$M$9,$M$7,IF(E71="",0,$M$15)))))</f>
        <v/>
      </c>
      <c r="G71" s="13" t="str">
        <f t="shared" ref="G71:G102" si="10">+IFERROR(ROUNDUP(F71*$F$2,-0.5), "")</f>
        <v/>
      </c>
      <c r="H71" s="10"/>
      <c r="I71" s="10"/>
      <c r="J71" s="10"/>
      <c r="K71" s="10"/>
      <c r="L71" s="10"/>
      <c r="M71" s="10"/>
      <c r="Q71" s="17"/>
    </row>
    <row r="72" spans="4:17" x14ac:dyDescent="0.2">
      <c r="D72" s="6" t="str">
        <f t="shared" si="8"/>
        <v>instalment</v>
      </c>
      <c r="E72" s="18" t="str">
        <f t="shared" si="7"/>
        <v/>
      </c>
      <c r="F72" s="12" t="str">
        <f t="shared" si="9"/>
        <v/>
      </c>
      <c r="G72" s="13" t="str">
        <f t="shared" si="10"/>
        <v/>
      </c>
      <c r="H72" s="10"/>
      <c r="I72" s="10"/>
      <c r="J72" s="10"/>
      <c r="K72" s="10"/>
      <c r="L72" s="10"/>
      <c r="M72" s="10"/>
      <c r="Q72" s="17"/>
    </row>
    <row r="73" spans="4:17" x14ac:dyDescent="0.2">
      <c r="D73" s="6" t="str">
        <f t="shared" si="8"/>
        <v>instalment</v>
      </c>
      <c r="E73" s="18" t="str">
        <f t="shared" ref="E73:E102" si="11">IFERROR(
    IF(
        AND($M$9 &gt;= E72, $M$9 &lt;= EDATE(E72, $M$22), E72 &lt;&gt; $M$9),
        $M$9,
        IF(
            EDATE(E72, $M$22) &lt;= EDATE($M$9, $M$13 * $M$22),
            EDATE(E72, $M$22),
            ""
        )
    ),
"")</f>
        <v/>
      </c>
      <c r="F73" s="12" t="str">
        <f t="shared" si="9"/>
        <v/>
      </c>
      <c r="G73" s="13" t="str">
        <f t="shared" si="10"/>
        <v/>
      </c>
      <c r="H73" s="10"/>
      <c r="I73" s="10"/>
      <c r="J73" s="10"/>
      <c r="K73" s="10"/>
      <c r="L73" s="10"/>
      <c r="M73" s="10"/>
      <c r="Q73" s="17"/>
    </row>
    <row r="74" spans="4:17" x14ac:dyDescent="0.2">
      <c r="D74" s="6" t="str">
        <f t="shared" si="8"/>
        <v>instalment</v>
      </c>
      <c r="E74" s="18" t="str">
        <f t="shared" si="11"/>
        <v/>
      </c>
      <c r="F74" s="12" t="str">
        <f t="shared" si="9"/>
        <v/>
      </c>
      <c r="G74" s="13" t="str">
        <f t="shared" si="10"/>
        <v/>
      </c>
      <c r="H74" s="10"/>
      <c r="I74" s="10"/>
      <c r="J74" s="10"/>
      <c r="K74" s="10"/>
      <c r="L74" s="10"/>
      <c r="M74" s="10"/>
      <c r="Q74" s="17"/>
    </row>
    <row r="75" spans="4:17" x14ac:dyDescent="0.2">
      <c r="D75" s="6" t="str">
        <f t="shared" si="8"/>
        <v>instalment</v>
      </c>
      <c r="E75" s="18" t="str">
        <f t="shared" si="11"/>
        <v/>
      </c>
      <c r="F75" s="12" t="str">
        <f t="shared" si="9"/>
        <v/>
      </c>
      <c r="G75" s="13" t="str">
        <f t="shared" si="10"/>
        <v/>
      </c>
      <c r="H75" s="10"/>
      <c r="I75" s="10"/>
      <c r="J75" s="10"/>
      <c r="K75" s="10"/>
      <c r="L75" s="10"/>
      <c r="M75" s="10"/>
      <c r="Q75" s="17"/>
    </row>
    <row r="76" spans="4:17" x14ac:dyDescent="0.2">
      <c r="D76" s="6" t="str">
        <f t="shared" si="8"/>
        <v>instalment</v>
      </c>
      <c r="E76" s="18" t="str">
        <f t="shared" si="11"/>
        <v/>
      </c>
      <c r="F76" s="12" t="str">
        <f t="shared" si="9"/>
        <v/>
      </c>
      <c r="G76" s="13" t="str">
        <f t="shared" si="10"/>
        <v/>
      </c>
      <c r="H76" s="10"/>
      <c r="I76" s="10"/>
      <c r="J76" s="10"/>
      <c r="K76" s="10"/>
      <c r="L76" s="10"/>
      <c r="M76" s="10"/>
      <c r="Q76" s="17"/>
    </row>
    <row r="77" spans="4:17" x14ac:dyDescent="0.2">
      <c r="D77" s="6" t="str">
        <f t="shared" si="8"/>
        <v>instalment</v>
      </c>
      <c r="E77" s="18" t="str">
        <f t="shared" si="11"/>
        <v/>
      </c>
      <c r="F77" s="12" t="str">
        <f t="shared" si="9"/>
        <v/>
      </c>
      <c r="G77" s="13" t="str">
        <f t="shared" si="10"/>
        <v/>
      </c>
      <c r="H77" s="10"/>
      <c r="I77" s="10"/>
      <c r="J77" s="10"/>
      <c r="K77" s="10"/>
      <c r="L77" s="10"/>
      <c r="M77" s="10"/>
      <c r="Q77" s="17"/>
    </row>
    <row r="78" spans="4:17" x14ac:dyDescent="0.2">
      <c r="D78" s="6" t="str">
        <f t="shared" si="8"/>
        <v>instalment</v>
      </c>
      <c r="E78" s="18" t="str">
        <f t="shared" si="11"/>
        <v/>
      </c>
      <c r="F78" s="12" t="str">
        <f t="shared" si="9"/>
        <v/>
      </c>
      <c r="G78" s="13" t="str">
        <f t="shared" si="10"/>
        <v/>
      </c>
      <c r="H78" s="10"/>
      <c r="I78" s="10"/>
      <c r="J78" s="10"/>
      <c r="K78" s="10"/>
      <c r="L78" s="10"/>
      <c r="M78" s="10"/>
      <c r="Q78" s="17"/>
    </row>
    <row r="79" spans="4:17" x14ac:dyDescent="0.2">
      <c r="D79" s="6" t="str">
        <f t="shared" si="8"/>
        <v>instalment</v>
      </c>
      <c r="E79" s="18" t="str">
        <f t="shared" si="11"/>
        <v/>
      </c>
      <c r="F79" s="12" t="str">
        <f t="shared" si="9"/>
        <v/>
      </c>
      <c r="G79" s="13" t="str">
        <f t="shared" si="10"/>
        <v/>
      </c>
      <c r="Q79" s="17"/>
    </row>
    <row r="80" spans="4:17" x14ac:dyDescent="0.2">
      <c r="D80" s="6" t="str">
        <f t="shared" si="8"/>
        <v>instalment</v>
      </c>
      <c r="E80" s="18" t="str">
        <f t="shared" si="11"/>
        <v/>
      </c>
      <c r="F80" s="12" t="str">
        <f t="shared" si="9"/>
        <v/>
      </c>
      <c r="G80" s="13" t="str">
        <f t="shared" si="10"/>
        <v/>
      </c>
      <c r="Q80" s="17"/>
    </row>
    <row r="81" spans="4:17" x14ac:dyDescent="0.2">
      <c r="D81" s="6" t="str">
        <f t="shared" si="8"/>
        <v>instalment</v>
      </c>
      <c r="E81" s="18" t="str">
        <f t="shared" si="11"/>
        <v/>
      </c>
      <c r="F81" s="12" t="str">
        <f t="shared" si="9"/>
        <v/>
      </c>
      <c r="G81" s="13" t="str">
        <f t="shared" si="10"/>
        <v/>
      </c>
      <c r="Q81" s="17"/>
    </row>
    <row r="82" spans="4:17" x14ac:dyDescent="0.2">
      <c r="D82" s="6" t="str">
        <f t="shared" si="8"/>
        <v>instalment</v>
      </c>
      <c r="E82" s="18" t="str">
        <f t="shared" si="11"/>
        <v/>
      </c>
      <c r="F82" s="12" t="str">
        <f t="shared" si="9"/>
        <v/>
      </c>
      <c r="G82" s="13" t="str">
        <f t="shared" si="10"/>
        <v/>
      </c>
      <c r="Q82" s="17"/>
    </row>
    <row r="83" spans="4:17" x14ac:dyDescent="0.2">
      <c r="D83" s="6" t="str">
        <f t="shared" si="8"/>
        <v>instalment</v>
      </c>
      <c r="E83" s="18" t="str">
        <f t="shared" si="11"/>
        <v/>
      </c>
      <c r="F83" s="12" t="str">
        <f t="shared" si="9"/>
        <v/>
      </c>
      <c r="G83" s="13" t="str">
        <f t="shared" si="10"/>
        <v/>
      </c>
      <c r="Q83" s="17"/>
    </row>
    <row r="84" spans="4:17" x14ac:dyDescent="0.2">
      <c r="D84" s="6" t="str">
        <f t="shared" si="8"/>
        <v>instalment</v>
      </c>
      <c r="E84" s="18" t="str">
        <f t="shared" si="11"/>
        <v/>
      </c>
      <c r="F84" s="12" t="str">
        <f t="shared" si="9"/>
        <v/>
      </c>
      <c r="G84" s="13" t="str">
        <f t="shared" si="10"/>
        <v/>
      </c>
      <c r="Q84" s="17"/>
    </row>
    <row r="85" spans="4:17" x14ac:dyDescent="0.2">
      <c r="D85" s="6" t="str">
        <f t="shared" si="8"/>
        <v>instalment</v>
      </c>
      <c r="E85" s="18" t="str">
        <f t="shared" si="11"/>
        <v/>
      </c>
      <c r="F85" s="12" t="str">
        <f t="shared" si="9"/>
        <v/>
      </c>
      <c r="G85" s="13" t="str">
        <f t="shared" si="10"/>
        <v/>
      </c>
      <c r="Q85" s="17"/>
    </row>
    <row r="86" spans="4:17" x14ac:dyDescent="0.2">
      <c r="D86" s="6" t="str">
        <f t="shared" si="8"/>
        <v>instalment</v>
      </c>
      <c r="E86" s="18" t="str">
        <f t="shared" si="11"/>
        <v/>
      </c>
      <c r="F86" s="12" t="str">
        <f t="shared" si="9"/>
        <v/>
      </c>
      <c r="G86" s="13" t="str">
        <f t="shared" si="10"/>
        <v/>
      </c>
      <c r="Q86" s="17"/>
    </row>
    <row r="87" spans="4:17" x14ac:dyDescent="0.2">
      <c r="D87" s="6" t="str">
        <f t="shared" si="8"/>
        <v>instalment</v>
      </c>
      <c r="E87" s="18" t="str">
        <f t="shared" si="11"/>
        <v/>
      </c>
      <c r="F87" s="12" t="str">
        <f t="shared" si="9"/>
        <v/>
      </c>
      <c r="G87" s="13" t="str">
        <f t="shared" si="10"/>
        <v/>
      </c>
      <c r="Q87" s="17"/>
    </row>
    <row r="88" spans="4:17" x14ac:dyDescent="0.2">
      <c r="D88" s="6" t="str">
        <f t="shared" si="8"/>
        <v>instalment</v>
      </c>
      <c r="E88" s="18" t="str">
        <f t="shared" si="11"/>
        <v/>
      </c>
      <c r="F88" s="12" t="str">
        <f t="shared" si="9"/>
        <v/>
      </c>
      <c r="G88" s="13" t="str">
        <f t="shared" si="10"/>
        <v/>
      </c>
      <c r="Q88" s="17"/>
    </row>
    <row r="89" spans="4:17" x14ac:dyDescent="0.2">
      <c r="D89" s="6" t="str">
        <f t="shared" si="8"/>
        <v>instalment</v>
      </c>
      <c r="E89" s="18" t="str">
        <f t="shared" si="11"/>
        <v/>
      </c>
      <c r="F89" s="12" t="str">
        <f t="shared" si="9"/>
        <v/>
      </c>
      <c r="G89" s="13" t="str">
        <f t="shared" si="10"/>
        <v/>
      </c>
    </row>
    <row r="90" spans="4:17" x14ac:dyDescent="0.2">
      <c r="D90" s="6" t="str">
        <f t="shared" si="8"/>
        <v>instalment</v>
      </c>
      <c r="E90" s="18" t="str">
        <f t="shared" si="11"/>
        <v/>
      </c>
      <c r="F90" s="12" t="str">
        <f t="shared" si="9"/>
        <v/>
      </c>
      <c r="G90" s="13" t="str">
        <f t="shared" si="10"/>
        <v/>
      </c>
    </row>
    <row r="91" spans="4:17" x14ac:dyDescent="0.2">
      <c r="D91" s="6" t="str">
        <f t="shared" si="8"/>
        <v>instalment</v>
      </c>
      <c r="E91" s="18" t="str">
        <f t="shared" si="11"/>
        <v/>
      </c>
      <c r="F91" s="12" t="str">
        <f t="shared" si="9"/>
        <v/>
      </c>
      <c r="G91" s="13" t="str">
        <f t="shared" si="10"/>
        <v/>
      </c>
    </row>
    <row r="92" spans="4:17" x14ac:dyDescent="0.2">
      <c r="D92" s="6" t="str">
        <f t="shared" si="8"/>
        <v>instalment</v>
      </c>
      <c r="E92" s="18" t="str">
        <f t="shared" si="11"/>
        <v/>
      </c>
      <c r="F92" s="12" t="str">
        <f t="shared" si="9"/>
        <v/>
      </c>
      <c r="G92" s="13" t="str">
        <f t="shared" si="10"/>
        <v/>
      </c>
    </row>
    <row r="93" spans="4:17" x14ac:dyDescent="0.2">
      <c r="D93" s="6" t="str">
        <f t="shared" si="8"/>
        <v>instalment</v>
      </c>
      <c r="E93" s="18" t="str">
        <f t="shared" si="11"/>
        <v/>
      </c>
      <c r="F93" s="12" t="str">
        <f t="shared" si="9"/>
        <v/>
      </c>
      <c r="G93" s="13" t="str">
        <f t="shared" si="10"/>
        <v/>
      </c>
    </row>
    <row r="94" spans="4:17" x14ac:dyDescent="0.2">
      <c r="D94" s="6" t="str">
        <f t="shared" si="8"/>
        <v>instalment</v>
      </c>
      <c r="E94" s="18" t="str">
        <f t="shared" si="11"/>
        <v/>
      </c>
      <c r="F94" s="12" t="str">
        <f t="shared" si="9"/>
        <v/>
      </c>
      <c r="G94" s="13" t="str">
        <f t="shared" si="10"/>
        <v/>
      </c>
    </row>
    <row r="95" spans="4:17" x14ac:dyDescent="0.2">
      <c r="D95" s="6" t="str">
        <f t="shared" si="8"/>
        <v>instalment</v>
      </c>
      <c r="E95" s="18" t="str">
        <f t="shared" si="11"/>
        <v/>
      </c>
      <c r="F95" s="12" t="str">
        <f t="shared" si="9"/>
        <v/>
      </c>
      <c r="G95" s="13" t="str">
        <f t="shared" si="10"/>
        <v/>
      </c>
    </row>
    <row r="96" spans="4:17" x14ac:dyDescent="0.2">
      <c r="D96" s="6" t="str">
        <f t="shared" si="8"/>
        <v>instalment</v>
      </c>
      <c r="E96" s="18" t="str">
        <f t="shared" si="11"/>
        <v/>
      </c>
      <c r="F96" s="12" t="str">
        <f t="shared" si="9"/>
        <v/>
      </c>
      <c r="G96" s="13" t="str">
        <f t="shared" si="10"/>
        <v/>
      </c>
    </row>
    <row r="97" spans="4:7" x14ac:dyDescent="0.2">
      <c r="D97" s="6" t="str">
        <f t="shared" si="8"/>
        <v>instalment</v>
      </c>
      <c r="E97" s="18" t="str">
        <f t="shared" si="11"/>
        <v/>
      </c>
      <c r="F97" s="12" t="str">
        <f t="shared" si="9"/>
        <v/>
      </c>
      <c r="G97" s="13" t="str">
        <f t="shared" si="10"/>
        <v/>
      </c>
    </row>
    <row r="98" spans="4:7" x14ac:dyDescent="0.2">
      <c r="D98" s="6" t="str">
        <f t="shared" si="8"/>
        <v>instalment</v>
      </c>
      <c r="E98" s="18" t="str">
        <f t="shared" si="11"/>
        <v/>
      </c>
      <c r="F98" s="12" t="str">
        <f t="shared" si="9"/>
        <v/>
      </c>
      <c r="G98" s="13" t="str">
        <f t="shared" si="10"/>
        <v/>
      </c>
    </row>
    <row r="99" spans="4:7" x14ac:dyDescent="0.2">
      <c r="D99" s="6" t="str">
        <f t="shared" si="8"/>
        <v>instalment</v>
      </c>
      <c r="E99" s="18" t="str">
        <f t="shared" si="11"/>
        <v/>
      </c>
      <c r="F99" s="12" t="str">
        <f t="shared" si="9"/>
        <v/>
      </c>
      <c r="G99" s="13" t="str">
        <f t="shared" si="10"/>
        <v/>
      </c>
    </row>
    <row r="100" spans="4:7" x14ac:dyDescent="0.2">
      <c r="D100" s="6" t="str">
        <f t="shared" si="8"/>
        <v>instalment</v>
      </c>
      <c r="E100" s="18" t="str">
        <f t="shared" si="11"/>
        <v/>
      </c>
      <c r="F100" s="12" t="str">
        <f t="shared" si="9"/>
        <v/>
      </c>
      <c r="G100" s="13" t="str">
        <f t="shared" si="10"/>
        <v/>
      </c>
    </row>
    <row r="101" spans="4:7" x14ac:dyDescent="0.2">
      <c r="D101" s="6" t="str">
        <f t="shared" si="8"/>
        <v>instalment</v>
      </c>
      <c r="E101" s="18" t="str">
        <f t="shared" si="11"/>
        <v/>
      </c>
      <c r="F101" s="12" t="str">
        <f t="shared" si="9"/>
        <v/>
      </c>
      <c r="G101" s="13" t="str">
        <f t="shared" si="10"/>
        <v/>
      </c>
    </row>
    <row r="102" spans="4:7" x14ac:dyDescent="0.2">
      <c r="D102" s="6" t="str">
        <f t="shared" si="8"/>
        <v>instalment</v>
      </c>
      <c r="E102" s="18" t="str">
        <f t="shared" si="11"/>
        <v/>
      </c>
      <c r="F102" s="12" t="str">
        <f t="shared" si="9"/>
        <v/>
      </c>
      <c r="G102" s="13" t="str">
        <f t="shared" si="10"/>
        <v/>
      </c>
    </row>
  </sheetData>
  <dataValidations count="1">
    <dataValidation type="list" allowBlank="1" showInputMessage="1" showErrorMessage="1" sqref="C2" xr:uid="{35B997A2-3131-4F47-96D5-346F494DCD43}">
      <formula1>"Annual, Semi Annual, Quarterly, Monthly"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Printable</vt:lpstr>
      <vt:lpstr>Payment Plan Simulator</vt:lpstr>
      <vt:lpstr>Payment Plan</vt:lpstr>
      <vt:lpstr>Printable!Print_Area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Omar - Capstone Property</dc:creator>
  <cp:keywords/>
  <dc:description/>
  <cp:lastModifiedBy>Omar - Capstone Property</cp:lastModifiedBy>
  <cp:revision/>
  <cp:lastPrinted>2026-08-17T13:23:10Z</cp:lastPrinted>
  <dcterms:created xsi:type="dcterms:W3CDTF">2025-08-24T06:47:03Z</dcterms:created>
  <dcterms:modified xsi:type="dcterms:W3CDTF">2026-08-17T13:24:07Z</dcterms:modified>
  <cp:category/>
  <cp:contentStatus/>
</cp:coreProperties>
</file>